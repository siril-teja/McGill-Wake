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siril_dukkipati_mail_mcgill_ca/Documents/_Research/Academics/0. TIM Research/McGill - Wakeforest project/McGill-Wakeforest Share/Github Repository/2. Summary Data/"/>
    </mc:Choice>
  </mc:AlternateContent>
  <xr:revisionPtr revIDLastSave="373" documentId="11_F25DC773A252ABDACC104832995B76045BDE58F7" xr6:coauthVersionLast="47" xr6:coauthVersionMax="47" xr10:uidLastSave="{A01B4E8F-CC15-4E3C-B59A-2515E0D88C0E}"/>
  <bookViews>
    <workbookView xWindow="-108" yWindow="-108" windowWidth="23256" windowHeight="13896" xr2:uid="{00000000-000D-0000-FFFF-FFFF00000000}"/>
  </bookViews>
  <sheets>
    <sheet name="hysteresis area" sheetId="3" r:id="rId1"/>
    <sheet name="boundary" sheetId="2" r:id="rId2"/>
    <sheet name="peak_loa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4" l="1"/>
  <c r="V12" i="4"/>
  <c r="U12" i="4"/>
  <c r="T12" i="4"/>
  <c r="S12" i="4"/>
  <c r="R12" i="4"/>
  <c r="Q12" i="4"/>
  <c r="P12" i="4"/>
  <c r="W11" i="4"/>
  <c r="V11" i="4"/>
  <c r="U11" i="4"/>
  <c r="T11" i="4"/>
  <c r="S11" i="4"/>
  <c r="R11" i="4"/>
  <c r="Q11" i="4"/>
  <c r="P11" i="4"/>
  <c r="W10" i="4"/>
  <c r="V10" i="4"/>
  <c r="U10" i="4"/>
  <c r="T10" i="4"/>
  <c r="S10" i="4"/>
  <c r="R10" i="4"/>
  <c r="Q10" i="4"/>
  <c r="P10" i="4"/>
  <c r="W9" i="4"/>
  <c r="V9" i="4"/>
  <c r="U9" i="4"/>
  <c r="T9" i="4"/>
  <c r="S9" i="4"/>
  <c r="R9" i="4"/>
  <c r="Q9" i="4"/>
  <c r="P9" i="4"/>
  <c r="W8" i="4"/>
  <c r="V8" i="4"/>
  <c r="U8" i="4"/>
  <c r="T8" i="4"/>
  <c r="S8" i="4"/>
  <c r="R8" i="4"/>
  <c r="Q8" i="4"/>
  <c r="P8" i="4"/>
  <c r="W7" i="4"/>
  <c r="V7" i="4"/>
  <c r="U7" i="4"/>
  <c r="T7" i="4"/>
  <c r="S7" i="4"/>
  <c r="R7" i="4"/>
  <c r="Q7" i="4"/>
  <c r="P7" i="4"/>
  <c r="W6" i="4"/>
  <c r="V6" i="4"/>
  <c r="U6" i="4"/>
  <c r="T6" i="4"/>
  <c r="S6" i="4"/>
  <c r="R6" i="4"/>
  <c r="Q6" i="4"/>
  <c r="P6" i="4"/>
  <c r="W5" i="4"/>
  <c r="V5" i="4"/>
  <c r="U5" i="4"/>
  <c r="T5" i="4"/>
  <c r="S5" i="4"/>
  <c r="R5" i="4"/>
  <c r="Q5" i="4"/>
  <c r="P5" i="4"/>
  <c r="W4" i="4"/>
  <c r="V4" i="4"/>
  <c r="U4" i="4"/>
  <c r="T4" i="4"/>
  <c r="S4" i="4"/>
  <c r="R4" i="4"/>
  <c r="Q4" i="4"/>
  <c r="P4" i="4"/>
  <c r="W3" i="4"/>
  <c r="V3" i="4"/>
  <c r="U3" i="4"/>
  <c r="T3" i="4"/>
  <c r="S3" i="4"/>
  <c r="R3" i="4"/>
  <c r="Q3" i="4"/>
  <c r="P3" i="4"/>
  <c r="W2" i="4"/>
  <c r="V2" i="4"/>
  <c r="U2" i="4"/>
  <c r="T2" i="4"/>
  <c r="S2" i="4"/>
  <c r="R2" i="4"/>
  <c r="Q2" i="4"/>
  <c r="P2" i="4"/>
  <c r="Q3" i="2"/>
  <c r="R3" i="2"/>
  <c r="S3" i="2"/>
  <c r="T3" i="2"/>
  <c r="U3" i="2"/>
  <c r="V3" i="2"/>
  <c r="W3" i="2"/>
  <c r="Q4" i="2"/>
  <c r="R4" i="2"/>
  <c r="S4" i="2"/>
  <c r="T4" i="2"/>
  <c r="U4" i="2"/>
  <c r="V4" i="2"/>
  <c r="W4" i="2"/>
  <c r="Q5" i="2"/>
  <c r="R5" i="2"/>
  <c r="S5" i="2"/>
  <c r="T5" i="2"/>
  <c r="U5" i="2"/>
  <c r="V5" i="2"/>
  <c r="W5" i="2"/>
  <c r="Q6" i="2"/>
  <c r="R6" i="2"/>
  <c r="S6" i="2"/>
  <c r="T6" i="2"/>
  <c r="U6" i="2"/>
  <c r="V6" i="2"/>
  <c r="W6" i="2"/>
  <c r="Q7" i="2"/>
  <c r="R7" i="2"/>
  <c r="S7" i="2"/>
  <c r="T7" i="2"/>
  <c r="U7" i="2"/>
  <c r="V7" i="2"/>
  <c r="W7" i="2"/>
  <c r="Q8" i="2"/>
  <c r="R8" i="2"/>
  <c r="S8" i="2"/>
  <c r="T8" i="2"/>
  <c r="U8" i="2"/>
  <c r="V8" i="2"/>
  <c r="W8" i="2"/>
  <c r="Q9" i="2"/>
  <c r="R9" i="2"/>
  <c r="S9" i="2"/>
  <c r="T9" i="2"/>
  <c r="U9" i="2"/>
  <c r="V9" i="2"/>
  <c r="W9" i="2"/>
  <c r="Q10" i="2"/>
  <c r="R10" i="2"/>
  <c r="S10" i="2"/>
  <c r="T10" i="2"/>
  <c r="U10" i="2"/>
  <c r="V10" i="2"/>
  <c r="W10" i="2"/>
  <c r="Q11" i="2"/>
  <c r="R11" i="2"/>
  <c r="S11" i="2"/>
  <c r="T11" i="2"/>
  <c r="U11" i="2"/>
  <c r="V11" i="2"/>
  <c r="W11" i="2"/>
  <c r="Q12" i="2"/>
  <c r="R12" i="2"/>
  <c r="S12" i="2"/>
  <c r="T12" i="2"/>
  <c r="U12" i="2"/>
  <c r="V12" i="2"/>
  <c r="W12" i="2"/>
  <c r="Q2" i="2"/>
  <c r="R2" i="2"/>
  <c r="S2" i="2"/>
  <c r="T2" i="2"/>
  <c r="U2" i="2"/>
  <c r="V2" i="2"/>
  <c r="W2" i="2"/>
  <c r="P3" i="2"/>
  <c r="P4" i="2"/>
  <c r="P5" i="2"/>
  <c r="P6" i="2"/>
  <c r="P7" i="2"/>
  <c r="P8" i="2"/>
  <c r="P9" i="2"/>
  <c r="P10" i="2"/>
  <c r="P11" i="2"/>
  <c r="P12" i="2"/>
  <c r="P2" i="2"/>
</calcChain>
</file>

<file path=xl/sharedStrings.xml><?xml version="1.0" encoding="utf-8"?>
<sst xmlns="http://schemas.openxmlformats.org/spreadsheetml/2006/main" count="52" uniqueCount="29">
  <si>
    <t>Dataset</t>
  </si>
  <si>
    <t>AR-C_McGill_Spec1</t>
  </si>
  <si>
    <t>AR-C_McGill_Spec2</t>
  </si>
  <si>
    <t>AR-C_McGill_Spec3</t>
  </si>
  <si>
    <t>AR-C_Sawbones</t>
  </si>
  <si>
    <t>AR-C_McGill_Spec1_Max</t>
  </si>
  <si>
    <t>AR-C_McGill_Spec1_Min</t>
  </si>
  <si>
    <t>AR-C_McGill_Spec2_Max</t>
  </si>
  <si>
    <t>AR-C_McGill_Spec2_Min</t>
  </si>
  <si>
    <t>AR-C_McGill_Spec3_Max</t>
  </si>
  <si>
    <t>AR-C_McGill_Spec3_Min</t>
  </si>
  <si>
    <t>AR-C_Sawbones_Max</t>
  </si>
  <si>
    <t>AR-C_Sawbones_Min</t>
  </si>
  <si>
    <t>Max</t>
  </si>
  <si>
    <t>Left AR</t>
  </si>
  <si>
    <t>Min</t>
  </si>
  <si>
    <t>Right AR</t>
  </si>
  <si>
    <t>minus is tension</t>
  </si>
  <si>
    <t>Max/positive</t>
  </si>
  <si>
    <t>Min/negative</t>
  </si>
  <si>
    <t>AR-C_McGill_Spec1_LeftAR</t>
  </si>
  <si>
    <t>AR-C_McGill_Spec1_RightAR</t>
  </si>
  <si>
    <t>AR-C_McGill_Spec2_LeftAR</t>
  </si>
  <si>
    <t>AR-C_McGill_Spec2_RightAR</t>
  </si>
  <si>
    <t>AR-C_McGill_Spec3_LeftAR</t>
  </si>
  <si>
    <t>AR-C_McGill_Spec3_RightAR</t>
  </si>
  <si>
    <t>AR-C_Sawbones_LeftAR</t>
  </si>
  <si>
    <t>AR-C_Sawbones_RightAR</t>
  </si>
  <si>
    <t>With Absolute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</si>
</sst>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Hysteresis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AR-C_McGill_Spec1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cat>
          <c:val>
            <c:numLit>
              <c:formatCode>General</c:formatCode>
              <c:ptCount val="11"/>
              <c:pt idx="0">
                <c:v>60.017016640109894</c:v>
              </c:pt>
              <c:pt idx="1">
                <c:v>60.191497321551068</c:v>
              </c:pt>
              <c:pt idx="2">
                <c:v>60.384963351762948</c:v>
              </c:pt>
              <c:pt idx="3">
                <c:v>60.858241752190636</c:v>
              </c:pt>
              <c:pt idx="4">
                <c:v>61.143737354173957</c:v>
              </c:pt>
              <c:pt idx="5">
                <c:v>61.574080944849783</c:v>
              </c:pt>
              <c:pt idx="6">
                <c:v>61.666308514972457</c:v>
              </c:pt>
              <c:pt idx="7">
                <c:v>61.840441004388438</c:v>
              </c:pt>
              <c:pt idx="8">
                <c:v>62.331771515080547</c:v>
              </c:pt>
              <c:pt idx="9">
                <c:v>62.669126521266037</c:v>
              </c:pt>
              <c:pt idx="10">
                <c:v>63.09610812501667</c:v>
              </c:pt>
            </c:numLit>
          </c:val>
          <c:extLst>
            <c:ext xmlns:c16="http://schemas.microsoft.com/office/drawing/2014/chart" uri="{C3380CC4-5D6E-409C-BE32-E72D297353CC}">
              <c16:uniqueId val="{00000000-C0E2-479D-BB9C-5D0A52A0A319}"/>
            </c:ext>
          </c:extLst>
        </c:ser>
        <c:ser>
          <c:idx val="1"/>
          <c:order val="1"/>
          <c:tx>
            <c:v>AR-C_McGill_Spec2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cat>
          <c:val>
            <c:numLit>
              <c:formatCode>General</c:formatCode>
              <c:ptCount val="11"/>
              <c:pt idx="0">
                <c:v>58.860163030710829</c:v>
              </c:pt>
              <c:pt idx="1">
                <c:v>59.073122997781184</c:v>
              </c:pt>
              <c:pt idx="2">
                <c:v>59.229017287205657</c:v>
              </c:pt>
              <c:pt idx="3">
                <c:v>59.405451874116665</c:v>
              </c:pt>
              <c:pt idx="4">
                <c:v>59.930743945009503</c:v>
              </c:pt>
              <c:pt idx="5">
                <c:v>60.219631298326874</c:v>
              </c:pt>
              <c:pt idx="6">
                <c:v>60.656983889079896</c:v>
              </c:pt>
              <c:pt idx="7">
                <c:v>60.968690707599244</c:v>
              </c:pt>
              <c:pt idx="8">
                <c:v>61.559558974690589</c:v>
              </c:pt>
              <c:pt idx="9">
                <c:v>62.02067471704239</c:v>
              </c:pt>
              <c:pt idx="10">
                <c:v>62.410436050913553</c:v>
              </c:pt>
            </c:numLit>
          </c:val>
          <c:extLst>
            <c:ext xmlns:c16="http://schemas.microsoft.com/office/drawing/2014/chart" uri="{C3380CC4-5D6E-409C-BE32-E72D297353CC}">
              <c16:uniqueId val="{00000001-C0E2-479D-BB9C-5D0A52A0A319}"/>
            </c:ext>
          </c:extLst>
        </c:ser>
        <c:ser>
          <c:idx val="2"/>
          <c:order val="2"/>
          <c:tx>
            <c:v>AR-C_McGill_Spec3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cat>
          <c:val>
            <c:numLit>
              <c:formatCode>General</c:formatCode>
              <c:ptCount val="11"/>
              <c:pt idx="0">
                <c:v>55.771666849784182</c:v>
              </c:pt>
              <c:pt idx="1">
                <c:v>55.925267804285959</c:v>
              </c:pt>
              <c:pt idx="2">
                <c:v>56.155642146346551</c:v>
              </c:pt>
              <c:pt idx="3">
                <c:v>56.390227864112134</c:v>
              </c:pt>
              <c:pt idx="4">
                <c:v>56.493858928987954</c:v>
              </c:pt>
              <c:pt idx="5">
                <c:v>56.683336929046732</c:v>
              </c:pt>
              <c:pt idx="6">
                <c:v>57.050749042357971</c:v>
              </c:pt>
              <c:pt idx="7">
                <c:v>57.239596588261449</c:v>
              </c:pt>
              <c:pt idx="8">
                <c:v>57.600182707351649</c:v>
              </c:pt>
              <c:pt idx="9">
                <c:v>57.973273762377488</c:v>
              </c:pt>
              <c:pt idx="10">
                <c:v>58.127383921044839</c:v>
              </c:pt>
            </c:numLit>
          </c:val>
          <c:extLst>
            <c:ext xmlns:c16="http://schemas.microsoft.com/office/drawing/2014/chart" uri="{C3380CC4-5D6E-409C-BE32-E72D297353CC}">
              <c16:uniqueId val="{00000002-C0E2-479D-BB9C-5D0A52A0A319}"/>
            </c:ext>
          </c:extLst>
        </c:ser>
        <c:ser>
          <c:idx val="3"/>
          <c:order val="3"/>
          <c:tx>
            <c:v>AR-C_Sawbones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cat>
          <c:val>
            <c:numLit>
              <c:formatCode>General</c:formatCode>
              <c:ptCount val="11"/>
              <c:pt idx="0">
                <c:v>22.547045767936176</c:v>
              </c:pt>
              <c:pt idx="1">
                <c:v>24.448341606992056</c:v>
              </c:pt>
              <c:pt idx="2">
                <c:v>24.797908804453627</c:v>
              </c:pt>
              <c:pt idx="3">
                <c:v>25.635728932354994</c:v>
              </c:pt>
              <c:pt idx="4">
                <c:v>27.189949832594579</c:v>
              </c:pt>
              <c:pt idx="5">
                <c:v>28.158377996970465</c:v>
              </c:pt>
              <c:pt idx="6">
                <c:v>29.519223624575385</c:v>
              </c:pt>
              <c:pt idx="7">
                <c:v>32.660068340933876</c:v>
              </c:pt>
              <c:pt idx="8">
                <c:v>34.629388666773607</c:v>
              </c:pt>
              <c:pt idx="9">
                <c:v>36.583164355026334</c:v>
              </c:pt>
              <c:pt idx="10">
                <c:v>38.626213569023541</c:v>
              </c:pt>
            </c:numLit>
          </c:val>
          <c:extLst>
            <c:ext xmlns:c16="http://schemas.microsoft.com/office/drawing/2014/chart" uri="{C3380CC4-5D6E-409C-BE32-E72D297353CC}">
              <c16:uniqueId val="{00000003-C0E2-479D-BB9C-5D0A52A0A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109520"/>
        <c:axId val="521110480"/>
      </c:barChart>
      <c:catAx>
        <c:axId val="52110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10480"/>
        <c:crosses val="autoZero"/>
        <c:auto val="1"/>
        <c:lblAlgn val="ctr"/>
        <c:lblOffset val="100"/>
        <c:noMultiLvlLbl val="0"/>
      </c:catAx>
      <c:valAx>
        <c:axId val="5211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0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Range of Motion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AR-C_McGill_Spec1_Max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11.0224145650864</c:v>
              </c:pt>
              <c:pt idx="1">
                <c:v>11.077689528465299</c:v>
              </c:pt>
              <c:pt idx="2">
                <c:v>11.079084277153001</c:v>
              </c:pt>
              <c:pt idx="3">
                <c:v>11.073757410049499</c:v>
              </c:pt>
              <c:pt idx="4">
                <c:v>11.072475314140299</c:v>
              </c:pt>
              <c:pt idx="5">
                <c:v>11.097870469093298</c:v>
              </c:pt>
              <c:pt idx="6">
                <c:v>11.1252665519714</c:v>
              </c:pt>
              <c:pt idx="7">
                <c:v>11.160709261894201</c:v>
              </c:pt>
              <c:pt idx="8">
                <c:v>11.138318181037899</c:v>
              </c:pt>
              <c:pt idx="9">
                <c:v>11.163311004638601</c:v>
              </c:pt>
              <c:pt idx="10">
                <c:v>11.160065531730602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8A4-447B-960F-FA744CB66C9C}"/>
            </c:ext>
          </c:extLst>
        </c:ser>
        <c:ser>
          <c:idx val="1"/>
          <c:order val="1"/>
          <c:tx>
            <c:v>AR-C_McGill_Spec1_Min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-12.105286717414803</c:v>
              </c:pt>
              <c:pt idx="1">
                <c:v>-12.076769471168497</c:v>
              </c:pt>
              <c:pt idx="2">
                <c:v>-12.060166597366297</c:v>
              </c:pt>
              <c:pt idx="3">
                <c:v>-12.062478661537099</c:v>
              </c:pt>
              <c:pt idx="4">
                <c:v>-12.0648819208145</c:v>
              </c:pt>
              <c:pt idx="5">
                <c:v>-12.032073140144405</c:v>
              </c:pt>
              <c:pt idx="6">
                <c:v>-12.007788419723603</c:v>
              </c:pt>
              <c:pt idx="7">
                <c:v>-11.967002749443001</c:v>
              </c:pt>
              <c:pt idx="8">
                <c:v>-11.977372169494604</c:v>
              </c:pt>
              <c:pt idx="9">
                <c:v>-11.963553428649899</c:v>
              </c:pt>
              <c:pt idx="10">
                <c:v>-11.955093741416999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8A4-447B-960F-FA744CB66C9C}"/>
            </c:ext>
          </c:extLst>
        </c:ser>
        <c:ser>
          <c:idx val="2"/>
          <c:order val="2"/>
          <c:tx>
            <c:v>AR-C_McGill_Spec2_Max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12.1000993251801</c:v>
              </c:pt>
              <c:pt idx="1">
                <c:v>12.115527391433698</c:v>
              </c:pt>
              <c:pt idx="2">
                <c:v>12.1130919456482</c:v>
              </c:pt>
              <c:pt idx="3">
                <c:v>12.110999822616602</c:v>
              </c:pt>
              <c:pt idx="4">
                <c:v>12.110179066658002</c:v>
              </c:pt>
              <c:pt idx="5">
                <c:v>12.129764556884801</c:v>
              </c:pt>
              <c:pt idx="6">
                <c:v>12.1252262592315</c:v>
              </c:pt>
              <c:pt idx="7">
                <c:v>12.148244976997301</c:v>
              </c:pt>
              <c:pt idx="8">
                <c:v>12.150004506111099</c:v>
              </c:pt>
              <c:pt idx="9">
                <c:v>12.172814011573799</c:v>
              </c:pt>
              <c:pt idx="10">
                <c:v>12.1919703483582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8A4-447B-960F-FA744CB66C9C}"/>
            </c:ext>
          </c:extLst>
        </c:ser>
        <c:ser>
          <c:idx val="3"/>
          <c:order val="3"/>
          <c:tx>
            <c:v>AR-C_McGill_Spec2_Min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-12.082605957984903</c:v>
              </c:pt>
              <c:pt idx="1">
                <c:v>-12.058879137039202</c:v>
              </c:pt>
              <c:pt idx="2">
                <c:v>-12.057956457138101</c:v>
              </c:pt>
              <c:pt idx="3">
                <c:v>-12.056631445884701</c:v>
              </c:pt>
              <c:pt idx="4">
                <c:v>-12.0581603050232</c:v>
              </c:pt>
              <c:pt idx="5">
                <c:v>-12.038059830665599</c:v>
              </c:pt>
              <c:pt idx="6">
                <c:v>-12.040881514549302</c:v>
              </c:pt>
              <c:pt idx="7">
                <c:v>-11.999731063842798</c:v>
              </c:pt>
              <c:pt idx="8">
                <c:v>-12.015802860259999</c:v>
              </c:pt>
              <c:pt idx="9">
                <c:v>-11.9893991947174</c:v>
              </c:pt>
              <c:pt idx="10">
                <c:v>-11.956542134284998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8A4-447B-960F-FA744CB66C9C}"/>
            </c:ext>
          </c:extLst>
        </c:ser>
        <c:ser>
          <c:idx val="4"/>
          <c:order val="4"/>
          <c:tx>
            <c:v>AR-C_McGill_Spec3_Max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9.0348333120345963</c:v>
              </c:pt>
              <c:pt idx="1">
                <c:v>9.0774428844452046</c:v>
              </c:pt>
              <c:pt idx="2">
                <c:v>9.0768474340438026</c:v>
              </c:pt>
              <c:pt idx="3">
                <c:v>9.0767455101013041</c:v>
              </c:pt>
              <c:pt idx="4">
                <c:v>9.121672511100801</c:v>
              </c:pt>
              <c:pt idx="5">
                <c:v>9.1228044033050999</c:v>
              </c:pt>
              <c:pt idx="6">
                <c:v>9.0980261564255045</c:v>
              </c:pt>
              <c:pt idx="7">
                <c:v>9.1176599264145004</c:v>
              </c:pt>
              <c:pt idx="8">
                <c:v>9.1172361373902042</c:v>
              </c:pt>
              <c:pt idx="9">
                <c:v>9.1446805000305034</c:v>
              </c:pt>
              <c:pt idx="10">
                <c:v>9.142717123031602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8A4-447B-960F-FA744CB66C9C}"/>
            </c:ext>
          </c:extLst>
        </c:ser>
        <c:ser>
          <c:idx val="5"/>
          <c:order val="5"/>
          <c:tx>
            <c:v>AR-C_McGill_Spec3_Min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-12.132527232170105</c:v>
              </c:pt>
              <c:pt idx="1">
                <c:v>-12.082139253616297</c:v>
              </c:pt>
              <c:pt idx="2">
                <c:v>-12.086125016212499</c:v>
              </c:pt>
              <c:pt idx="3">
                <c:v>-12.0552206039429</c:v>
              </c:pt>
              <c:pt idx="4">
                <c:v>-12.0237475633621</c:v>
              </c:pt>
              <c:pt idx="5">
                <c:v>-12.009676694870002</c:v>
              </c:pt>
              <c:pt idx="6">
                <c:v>-12.044684886932394</c:v>
              </c:pt>
              <c:pt idx="7">
                <c:v>-12.026960849761899</c:v>
              </c:pt>
              <c:pt idx="8">
                <c:v>-12.036337852477999</c:v>
              </c:pt>
              <c:pt idx="9">
                <c:v>-12.016671895980799</c:v>
              </c:pt>
              <c:pt idx="10">
                <c:v>-12.000696659088199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8A4-447B-960F-FA744CB66C9C}"/>
            </c:ext>
          </c:extLst>
        </c:ser>
        <c:ser>
          <c:idx val="6"/>
          <c:order val="6"/>
          <c:tx>
            <c:v>AR-C_Sawbones_Max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5.9705597162246988</c:v>
              </c:pt>
              <c:pt idx="1">
                <c:v>5.9732955694197969</c:v>
              </c:pt>
              <c:pt idx="2">
                <c:v>5.9791642427444991</c:v>
              </c:pt>
              <c:pt idx="3">
                <c:v>5.9544932842253999</c:v>
              </c:pt>
              <c:pt idx="4">
                <c:v>5.9550672769547006</c:v>
              </c:pt>
              <c:pt idx="5">
                <c:v>5.9593802690506017</c:v>
              </c:pt>
              <c:pt idx="6">
                <c:v>5.8271795511245976</c:v>
              </c:pt>
              <c:pt idx="7">
                <c:v>5.9123879671095985</c:v>
              </c:pt>
              <c:pt idx="8">
                <c:v>5.9749585390090978</c:v>
              </c:pt>
              <c:pt idx="9">
                <c:v>5.9669011831282965</c:v>
              </c:pt>
              <c:pt idx="10">
                <c:v>5.968381762504503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8A4-447B-960F-FA744CB66C9C}"/>
            </c:ext>
          </c:extLst>
        </c:ser>
        <c:ser>
          <c:idx val="7"/>
          <c:order val="7"/>
          <c:tx>
            <c:v>AR-C_Sawbones_Min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-7.0189923048019018</c:v>
              </c:pt>
              <c:pt idx="1">
                <c:v>-6.9912368059159</c:v>
              </c:pt>
              <c:pt idx="2">
                <c:v>-6.9660508632659024</c:v>
              </c:pt>
              <c:pt idx="3">
                <c:v>-6.9864892959595011</c:v>
              </c:pt>
              <c:pt idx="4">
                <c:v>-6.9887101650237966</c:v>
              </c:pt>
              <c:pt idx="5">
                <c:v>-6.9863283634185969</c:v>
              </c:pt>
              <c:pt idx="6">
                <c:v>-7.1557420492172028</c:v>
              </c:pt>
              <c:pt idx="7">
                <c:v>-7.0985412597657032</c:v>
              </c:pt>
              <c:pt idx="8">
                <c:v>-7.0130538940430043</c:v>
              </c:pt>
              <c:pt idx="9">
                <c:v>-7.019866704940803</c:v>
              </c:pt>
              <c:pt idx="10">
                <c:v>-6.9969606399535991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F8A4-447B-960F-FA744CB66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627600"/>
        <c:axId val="2116628560"/>
      </c:scatterChart>
      <c:valAx>
        <c:axId val="211662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8560"/>
        <c:crosses val="autoZero"/>
        <c:crossBetween val="midCat"/>
      </c:valAx>
      <c:valAx>
        <c:axId val="211662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Peak Moment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AR-C_McGill_Spec1_Max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8.5583969950675964</c:v>
              </c:pt>
              <c:pt idx="1">
                <c:v>8.356488496065138</c:v>
              </c:pt>
              <c:pt idx="2">
                <c:v>8.3151786588132364</c:v>
              </c:pt>
              <c:pt idx="3">
                <c:v>8.3270522765815222</c:v>
              </c:pt>
              <c:pt idx="4">
                <c:v>8.3194022998213804</c:v>
              </c:pt>
              <c:pt idx="5">
                <c:v>8.3231061697006226</c:v>
              </c:pt>
              <c:pt idx="6">
                <c:v>8.3009700290858781</c:v>
              </c:pt>
              <c:pt idx="7">
                <c:v>8.291159849613905</c:v>
              </c:pt>
              <c:pt idx="8">
                <c:v>8.2644758746028</c:v>
              </c:pt>
              <c:pt idx="9">
                <c:v>8.267623465508219</c:v>
              </c:pt>
              <c:pt idx="10">
                <c:v>8.2756012678146398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E5A-47F8-9421-22B26038E965}"/>
            </c:ext>
          </c:extLst>
        </c:ser>
        <c:ser>
          <c:idx val="1"/>
          <c:order val="1"/>
          <c:tx>
            <c:v>AR-C_McGill_Spec1_Min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-9.0446375310421043</c:v>
              </c:pt>
              <c:pt idx="1">
                <c:v>-9.1718502342700923</c:v>
              </c:pt>
              <c:pt idx="2">
                <c:v>-9.1863186098635232</c:v>
              </c:pt>
              <c:pt idx="3">
                <c:v>-9.2047189362347073</c:v>
              </c:pt>
              <c:pt idx="4">
                <c:v>-9.2527175322175008</c:v>
              </c:pt>
              <c:pt idx="5">
                <c:v>-9.2836186289787275</c:v>
              </c:pt>
              <c:pt idx="6">
                <c:v>-9.3296659179031813</c:v>
              </c:pt>
              <c:pt idx="7">
                <c:v>-9.3802352435886842</c:v>
              </c:pt>
              <c:pt idx="8">
                <c:v>-9.4384254887700116</c:v>
              </c:pt>
              <c:pt idx="9">
                <c:v>-9.4623346813023108</c:v>
              </c:pt>
              <c:pt idx="10">
                <c:v>-9.5000818371772802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E5A-47F8-9421-22B26038E965}"/>
            </c:ext>
          </c:extLst>
        </c:ser>
        <c:ser>
          <c:idx val="2"/>
          <c:order val="2"/>
          <c:tx>
            <c:v>AR-C_McGill_Spec2_Max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8.6234007962048018</c:v>
              </c:pt>
              <c:pt idx="1">
                <c:v>8.4833924658596569</c:v>
              </c:pt>
              <c:pt idx="2">
                <c:v>8.4291455335915071</c:v>
              </c:pt>
              <c:pt idx="3">
                <c:v>8.4335023537278211</c:v>
              </c:pt>
              <c:pt idx="4">
                <c:v>8.4202184341847897</c:v>
              </c:pt>
              <c:pt idx="5">
                <c:v>8.4144658409059048</c:v>
              </c:pt>
              <c:pt idx="6">
                <c:v>8.433063048869375</c:v>
              </c:pt>
              <c:pt idx="7">
                <c:v>8.4650808013975585</c:v>
              </c:pt>
              <c:pt idx="8">
                <c:v>8.4867289289832097</c:v>
              </c:pt>
              <c:pt idx="9">
                <c:v>8.5115293972194248</c:v>
              </c:pt>
              <c:pt idx="10">
                <c:v>8.5481088608503306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E5A-47F8-9421-22B26038E965}"/>
            </c:ext>
          </c:extLst>
        </c:ser>
        <c:ser>
          <c:idx val="3"/>
          <c:order val="3"/>
          <c:tx>
            <c:v>AR-C_McGill_Spec2_Min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-9.5036971382796782</c:v>
              </c:pt>
              <c:pt idx="1">
                <c:v>-9.5978501252830046</c:v>
              </c:pt>
              <c:pt idx="2">
                <c:v>-9.6180888824164832</c:v>
              </c:pt>
              <c:pt idx="3">
                <c:v>-9.6169797703623789</c:v>
              </c:pt>
              <c:pt idx="4">
                <c:v>-9.6294031478464603</c:v>
              </c:pt>
              <c:pt idx="5">
                <c:v>-9.6288413740694541</c:v>
              </c:pt>
              <c:pt idx="6">
                <c:v>-9.6512558870017546</c:v>
              </c:pt>
              <c:pt idx="7">
                <c:v>-9.6625774167478102</c:v>
              </c:pt>
              <c:pt idx="8">
                <c:v>-9.7042815759777987</c:v>
              </c:pt>
              <c:pt idx="9">
                <c:v>-9.7423401661217266</c:v>
              </c:pt>
              <c:pt idx="10">
                <c:v>-9.7802903503179586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2E5A-47F8-9421-22B26038E965}"/>
            </c:ext>
          </c:extLst>
        </c:ser>
        <c:ser>
          <c:idx val="4"/>
          <c:order val="4"/>
          <c:tx>
            <c:v>AR-C_McGill_Spec3_Max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8.0550180748105049</c:v>
              </c:pt>
              <c:pt idx="1">
                <c:v>7.9337449744343722</c:v>
              </c:pt>
              <c:pt idx="2">
                <c:v>7.8535282984375909</c:v>
              </c:pt>
              <c:pt idx="3">
                <c:v>7.8644059598445901</c:v>
              </c:pt>
              <c:pt idx="4">
                <c:v>7.8684160485863694</c:v>
              </c:pt>
              <c:pt idx="5">
                <c:v>7.8685580752789965</c:v>
              </c:pt>
              <c:pt idx="6">
                <c:v>7.8819542191922682</c:v>
              </c:pt>
              <c:pt idx="7">
                <c:v>7.8839414753019801</c:v>
              </c:pt>
              <c:pt idx="8">
                <c:v>7.9274182207882431</c:v>
              </c:pt>
              <c:pt idx="9">
                <c:v>7.9520463943481472</c:v>
              </c:pt>
              <c:pt idx="10">
                <c:v>7.9565622843801966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955-4A7E-8169-87F134A55AC5}"/>
            </c:ext>
          </c:extLst>
        </c:ser>
        <c:ser>
          <c:idx val="5"/>
          <c:order val="5"/>
          <c:tx>
            <c:v>AR-C_McGill_Spec3_Min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-10.557161085307646</c:v>
              </c:pt>
              <c:pt idx="1">
                <c:v>-10.582950524985819</c:v>
              </c:pt>
              <c:pt idx="2">
                <c:v>-10.636835359036899</c:v>
              </c:pt>
              <c:pt idx="3">
                <c:v>-10.6215089559555</c:v>
              </c:pt>
              <c:pt idx="4">
                <c:v>-10.630920343101071</c:v>
              </c:pt>
              <c:pt idx="5">
                <c:v>-10.664410982280943</c:v>
              </c:pt>
              <c:pt idx="6">
                <c:v>-10.701800975948602</c:v>
              </c:pt>
              <c:pt idx="7">
                <c:v>-10.71330597624182</c:v>
              </c:pt>
              <c:pt idx="8">
                <c:v>-10.765158664435116</c:v>
              </c:pt>
              <c:pt idx="9">
                <c:v>-10.783435404300663</c:v>
              </c:pt>
              <c:pt idx="10">
                <c:v>-10.812827106565233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955-4A7E-8169-87F134A55AC5}"/>
            </c:ext>
          </c:extLst>
        </c:ser>
        <c:ser>
          <c:idx val="6"/>
          <c:order val="6"/>
          <c:tx>
            <c:v>AR-C_Sawbones_Max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8.620548062026506</c:v>
              </c:pt>
              <c:pt idx="1">
                <c:v>7.4163498356938335</c:v>
              </c:pt>
              <c:pt idx="2">
                <c:v>6.9437365047633666</c:v>
              </c:pt>
              <c:pt idx="3">
                <c:v>7.0717688649892843</c:v>
              </c:pt>
              <c:pt idx="4">
                <c:v>7.3455667123198527</c:v>
              </c:pt>
              <c:pt idx="5">
                <c:v>7.6049960218369952</c:v>
              </c:pt>
              <c:pt idx="6">
                <c:v>7.3037067428231275</c:v>
              </c:pt>
              <c:pt idx="7">
                <c:v>7.146356347948311</c:v>
              </c:pt>
              <c:pt idx="8">
                <c:v>7.1756498888134947</c:v>
              </c:pt>
              <c:pt idx="9">
                <c:v>7.2847752831876234</c:v>
              </c:pt>
              <c:pt idx="10">
                <c:v>7.3088424280285871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955-4A7E-8169-87F134A55AC5}"/>
            </c:ext>
          </c:extLst>
        </c:ser>
        <c:ser>
          <c:idx val="7"/>
          <c:order val="7"/>
          <c:tx>
            <c:v>AR-C_Sawbones_Min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11"/>
              <c:pt idx="0">
                <c:v>-50</c:v>
              </c:pt>
              <c:pt idx="1">
                <c:v>-25</c:v>
              </c:pt>
              <c:pt idx="2">
                <c:v>0</c:v>
              </c:pt>
              <c:pt idx="3">
                <c:v>25</c:v>
              </c:pt>
              <c:pt idx="4">
                <c:v>50</c:v>
              </c:pt>
              <c:pt idx="5">
                <c:v>75</c:v>
              </c:pt>
              <c:pt idx="6">
                <c:v>100</c:v>
              </c:pt>
              <c:pt idx="7">
                <c:v>125</c:v>
              </c:pt>
              <c:pt idx="8">
                <c:v>150</c:v>
              </c:pt>
              <c:pt idx="9">
                <c:v>175</c:v>
              </c:pt>
              <c:pt idx="10">
                <c:v>200</c:v>
              </c:pt>
            </c:numLit>
          </c:xVal>
          <c:yVal>
            <c:numLit>
              <c:formatCode>General</c:formatCode>
              <c:ptCount val="11"/>
              <c:pt idx="0">
                <c:v>-6.0561308637261346</c:v>
              </c:pt>
              <c:pt idx="1">
                <c:v>-7.8578842803835869</c:v>
              </c:pt>
              <c:pt idx="2">
                <c:v>-8.3254692144691944</c:v>
              </c:pt>
              <c:pt idx="3">
                <c:v>-8.5270922631025368</c:v>
              </c:pt>
              <c:pt idx="4">
                <c:v>-8.7875539436936361</c:v>
              </c:pt>
              <c:pt idx="5">
                <c:v>-8.991006109863525</c:v>
              </c:pt>
              <c:pt idx="6">
                <c:v>-10.058601759374152</c:v>
              </c:pt>
              <c:pt idx="7">
                <c:v>-10.88634347543122</c:v>
              </c:pt>
              <c:pt idx="8">
                <c:v>-11.565585248172315</c:v>
              </c:pt>
              <c:pt idx="9">
                <c:v>-12.317556235939247</c:v>
              </c:pt>
              <c:pt idx="10">
                <c:v>-13.126130215823613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955-4A7E-8169-87F134A55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29103"/>
        <c:axId val="1546528143"/>
      </c:scatterChart>
      <c:valAx>
        <c:axId val="154652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28143"/>
        <c:crosses val="autoZero"/>
        <c:crossBetween val="midCat"/>
      </c:valAx>
      <c:valAx>
        <c:axId val="15465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2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152400</xdr:rowOff>
    </xdr:from>
    <xdr:to>
      <xdr:col>17</xdr:col>
      <xdr:colOff>266700</xdr:colOff>
      <xdr:row>23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6D5D66-E888-615D-3D58-26C067A6F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1409700</xdr:colOff>
      <xdr:row>12</xdr:row>
      <xdr:rowOff>148590</xdr:rowOff>
    </xdr:from>
    <xdr:to>
      <xdr:col>9</xdr:col>
      <xdr:colOff>45720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B478E9-E067-17B2-E252-7CFC064C8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1363979</xdr:colOff>
      <xdr:row>18</xdr:row>
      <xdr:rowOff>129539</xdr:rowOff>
    </xdr:from>
    <xdr:to>
      <xdr:col>8</xdr:col>
      <xdr:colOff>822960</xdr:colOff>
      <xdr:row>38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DB5BA6-C66B-EA43-CA54-9570CB3B1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C2C5-D2FF-4BA2-AF4F-571B6E9E3450}">
  <dimension ref="A1:E16"/>
  <sheetViews>
    <sheetView tabSelected="1" workbookViewId="0">
      <selection activeCell="E25" sqref="E25"/>
    </sheetView>
  </sheetViews>
  <sheetFormatPr defaultRowHeight="14.4" x14ac:dyDescent="0.3"/>
  <cols>
    <col min="2" max="2" width="18.5546875" customWidth="1"/>
    <col min="3" max="3" width="17.44140625" customWidth="1"/>
    <col min="4" max="4" width="18" customWidth="1"/>
    <col min="5" max="5" width="1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-50</v>
      </c>
      <c r="B2">
        <v>60.017016640109894</v>
      </c>
      <c r="C2">
        <v>58.860163030710829</v>
      </c>
      <c r="D2">
        <v>55.771666849784182</v>
      </c>
      <c r="E2">
        <v>22.547045767936176</v>
      </c>
    </row>
    <row r="3" spans="1:5" x14ac:dyDescent="0.3">
      <c r="A3">
        <v>-25</v>
      </c>
      <c r="B3">
        <v>60.191497321551068</v>
      </c>
      <c r="C3">
        <v>59.073122997781184</v>
      </c>
      <c r="D3">
        <v>55.925267804285959</v>
      </c>
      <c r="E3">
        <v>24.448341606992056</v>
      </c>
    </row>
    <row r="4" spans="1:5" x14ac:dyDescent="0.3">
      <c r="A4">
        <v>0</v>
      </c>
      <c r="B4">
        <v>60.384963351762948</v>
      </c>
      <c r="C4">
        <v>59.229017287205657</v>
      </c>
      <c r="D4">
        <v>56.155642146346551</v>
      </c>
      <c r="E4">
        <v>24.797908804453627</v>
      </c>
    </row>
    <row r="5" spans="1:5" x14ac:dyDescent="0.3">
      <c r="A5">
        <v>25</v>
      </c>
      <c r="B5">
        <v>60.858241752190636</v>
      </c>
      <c r="C5">
        <v>59.405451874116665</v>
      </c>
      <c r="D5">
        <v>56.390227864112134</v>
      </c>
      <c r="E5">
        <v>25.635728932354994</v>
      </c>
    </row>
    <row r="6" spans="1:5" x14ac:dyDescent="0.3">
      <c r="A6">
        <v>50</v>
      </c>
      <c r="B6">
        <v>61.143737354173957</v>
      </c>
      <c r="C6">
        <v>59.930743945009503</v>
      </c>
      <c r="D6">
        <v>56.493858928987954</v>
      </c>
      <c r="E6">
        <v>27.189949832594579</v>
      </c>
    </row>
    <row r="7" spans="1:5" x14ac:dyDescent="0.3">
      <c r="A7">
        <v>75</v>
      </c>
      <c r="B7">
        <v>61.574080944849783</v>
      </c>
      <c r="C7">
        <v>60.219631298326874</v>
      </c>
      <c r="D7">
        <v>56.683336929046732</v>
      </c>
      <c r="E7">
        <v>28.158377996970465</v>
      </c>
    </row>
    <row r="8" spans="1:5" x14ac:dyDescent="0.3">
      <c r="A8">
        <v>100</v>
      </c>
      <c r="B8">
        <v>61.666308514972457</v>
      </c>
      <c r="C8">
        <v>60.656983889079896</v>
      </c>
      <c r="D8">
        <v>57.050749042357971</v>
      </c>
      <c r="E8">
        <v>29.519223624575385</v>
      </c>
    </row>
    <row r="9" spans="1:5" x14ac:dyDescent="0.3">
      <c r="A9">
        <v>125</v>
      </c>
      <c r="B9">
        <v>61.840441004388438</v>
      </c>
      <c r="C9">
        <v>60.968690707599244</v>
      </c>
      <c r="D9">
        <v>57.239596588261449</v>
      </c>
      <c r="E9">
        <v>32.660068340933876</v>
      </c>
    </row>
    <row r="10" spans="1:5" x14ac:dyDescent="0.3">
      <c r="A10">
        <v>150</v>
      </c>
      <c r="B10">
        <v>62.331771515080547</v>
      </c>
      <c r="C10">
        <v>61.559558974690589</v>
      </c>
      <c r="D10">
        <v>57.600182707351649</v>
      </c>
      <c r="E10">
        <v>34.629388666773607</v>
      </c>
    </row>
    <row r="11" spans="1:5" x14ac:dyDescent="0.3">
      <c r="A11">
        <v>175</v>
      </c>
      <c r="B11">
        <v>62.669126521266037</v>
      </c>
      <c r="C11">
        <v>62.02067471704239</v>
      </c>
      <c r="D11">
        <v>57.973273762377488</v>
      </c>
      <c r="E11">
        <v>36.583164355026334</v>
      </c>
    </row>
    <row r="12" spans="1:5" x14ac:dyDescent="0.3">
      <c r="A12">
        <v>200</v>
      </c>
      <c r="B12">
        <v>63.09610812501667</v>
      </c>
      <c r="C12">
        <v>62.410436050913553</v>
      </c>
      <c r="D12">
        <v>58.127383921044839</v>
      </c>
      <c r="E12">
        <v>38.626213569023541</v>
      </c>
    </row>
    <row r="16" spans="1:5" x14ac:dyDescent="0.3">
      <c r="B16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6682-ED3C-4136-B3ED-73A73E2FEC1A}">
  <dimension ref="A1:W16"/>
  <sheetViews>
    <sheetView topLeftCell="H1" zoomScale="70" zoomScaleNormal="70" workbookViewId="0">
      <selection activeCell="Q21" sqref="Q21"/>
    </sheetView>
  </sheetViews>
  <sheetFormatPr defaultRowHeight="14.4" x14ac:dyDescent="0.3"/>
  <cols>
    <col min="1" max="1" width="11" customWidth="1"/>
    <col min="2" max="2" width="26.109375" customWidth="1"/>
    <col min="3" max="3" width="26" customWidth="1"/>
    <col min="4" max="4" width="24.6640625" customWidth="1"/>
    <col min="5" max="5" width="25.21875" customWidth="1"/>
    <col min="6" max="6" width="24.109375" customWidth="1"/>
    <col min="7" max="7" width="24.77734375" customWidth="1"/>
    <col min="8" max="8" width="20.88671875" customWidth="1"/>
    <col min="9" max="9" width="22" customWidth="1"/>
    <col min="14" max="14" width="11.77734375" customWidth="1"/>
    <col min="16" max="16" width="24.5546875" bestFit="1" customWidth="1"/>
    <col min="17" max="17" width="26" bestFit="1" customWidth="1"/>
    <col min="18" max="18" width="24.5546875" bestFit="1" customWidth="1"/>
    <col min="19" max="19" width="26" bestFit="1" customWidth="1"/>
    <col min="20" max="20" width="24.5546875" bestFit="1" customWidth="1"/>
    <col min="21" max="21" width="26" bestFit="1" customWidth="1"/>
    <col min="22" max="22" width="21.21875" bestFit="1" customWidth="1"/>
    <col min="23" max="23" width="22.6640625" bestFit="1" customWidth="1"/>
    <col min="24" max="24" width="10.77734375" customWidth="1"/>
  </cols>
  <sheetData>
    <row r="1" spans="1:23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M1" s="1" t="s">
        <v>28</v>
      </c>
      <c r="N1" s="1"/>
      <c r="O1" t="s">
        <v>0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A2">
        <v>-50</v>
      </c>
      <c r="B2">
        <v>11.0224145650864</v>
      </c>
      <c r="C2">
        <v>-12.105286717414803</v>
      </c>
      <c r="D2">
        <v>12.1000993251801</v>
      </c>
      <c r="E2">
        <v>-12.082605957984903</v>
      </c>
      <c r="F2">
        <v>9.0348333120345963</v>
      </c>
      <c r="G2">
        <v>-12.132527232170105</v>
      </c>
      <c r="H2">
        <v>5.9705597162246988</v>
      </c>
      <c r="I2">
        <v>-7.0189923048019018</v>
      </c>
      <c r="M2" s="1"/>
      <c r="N2" s="1"/>
      <c r="O2">
        <v>-50</v>
      </c>
      <c r="P2">
        <f>ABS(B2)</f>
        <v>11.0224145650864</v>
      </c>
      <c r="Q2">
        <f t="shared" ref="Q2:X2" si="0">ABS(C2)</f>
        <v>12.105286717414803</v>
      </c>
      <c r="R2">
        <f t="shared" si="0"/>
        <v>12.1000993251801</v>
      </c>
      <c r="S2">
        <f t="shared" si="0"/>
        <v>12.082605957984903</v>
      </c>
      <c r="T2">
        <f t="shared" si="0"/>
        <v>9.0348333120345963</v>
      </c>
      <c r="U2">
        <f t="shared" si="0"/>
        <v>12.132527232170105</v>
      </c>
      <c r="V2">
        <f t="shared" si="0"/>
        <v>5.9705597162246988</v>
      </c>
      <c r="W2">
        <f t="shared" si="0"/>
        <v>7.0189923048019018</v>
      </c>
    </row>
    <row r="3" spans="1:23" x14ac:dyDescent="0.3">
      <c r="A3">
        <v>-25</v>
      </c>
      <c r="B3">
        <v>11.077689528465299</v>
      </c>
      <c r="C3">
        <v>-12.076769471168497</v>
      </c>
      <c r="D3">
        <v>12.115527391433698</v>
      </c>
      <c r="E3">
        <v>-12.058879137039202</v>
      </c>
      <c r="F3">
        <v>9.0774428844452046</v>
      </c>
      <c r="G3">
        <v>-12.082139253616297</v>
      </c>
      <c r="H3">
        <v>5.9732955694197969</v>
      </c>
      <c r="I3">
        <v>-6.9912368059159</v>
      </c>
      <c r="M3" s="1"/>
      <c r="N3" s="1"/>
      <c r="O3">
        <v>-25</v>
      </c>
      <c r="P3">
        <f t="shared" ref="P3:P12" si="1">ABS(B3)</f>
        <v>11.077689528465299</v>
      </c>
      <c r="Q3">
        <f t="shared" ref="Q3:Q12" si="2">ABS(C3)</f>
        <v>12.076769471168497</v>
      </c>
      <c r="R3">
        <f t="shared" ref="R3:R12" si="3">ABS(D3)</f>
        <v>12.115527391433698</v>
      </c>
      <c r="S3">
        <f t="shared" ref="S3:S12" si="4">ABS(E3)</f>
        <v>12.058879137039202</v>
      </c>
      <c r="T3">
        <f t="shared" ref="T3:T12" si="5">ABS(F3)</f>
        <v>9.0774428844452046</v>
      </c>
      <c r="U3">
        <f t="shared" ref="U3:U12" si="6">ABS(G3)</f>
        <v>12.082139253616297</v>
      </c>
      <c r="V3">
        <f t="shared" ref="V3:V12" si="7">ABS(H3)</f>
        <v>5.9732955694197969</v>
      </c>
      <c r="W3">
        <f t="shared" ref="W3:W12" si="8">ABS(I3)</f>
        <v>6.9912368059159</v>
      </c>
    </row>
    <row r="4" spans="1:23" x14ac:dyDescent="0.3">
      <c r="A4">
        <v>0</v>
      </c>
      <c r="B4">
        <v>11.079084277153001</v>
      </c>
      <c r="C4">
        <v>-12.060166597366297</v>
      </c>
      <c r="D4">
        <v>12.1130919456482</v>
      </c>
      <c r="E4">
        <v>-12.057956457138101</v>
      </c>
      <c r="F4">
        <v>9.0768474340438026</v>
      </c>
      <c r="G4">
        <v>-12.086125016212499</v>
      </c>
      <c r="H4">
        <v>5.9791642427444991</v>
      </c>
      <c r="I4">
        <v>-6.9660508632659024</v>
      </c>
      <c r="M4" s="1"/>
      <c r="N4" s="1"/>
      <c r="O4">
        <v>0</v>
      </c>
      <c r="P4">
        <f t="shared" si="1"/>
        <v>11.079084277153001</v>
      </c>
      <c r="Q4">
        <f t="shared" si="2"/>
        <v>12.060166597366297</v>
      </c>
      <c r="R4">
        <f t="shared" si="3"/>
        <v>12.1130919456482</v>
      </c>
      <c r="S4">
        <f t="shared" si="4"/>
        <v>12.057956457138101</v>
      </c>
      <c r="T4">
        <f t="shared" si="5"/>
        <v>9.0768474340438026</v>
      </c>
      <c r="U4">
        <f t="shared" si="6"/>
        <v>12.086125016212499</v>
      </c>
      <c r="V4">
        <f t="shared" si="7"/>
        <v>5.9791642427444991</v>
      </c>
      <c r="W4">
        <f t="shared" si="8"/>
        <v>6.9660508632659024</v>
      </c>
    </row>
    <row r="5" spans="1:23" x14ac:dyDescent="0.3">
      <c r="A5">
        <v>25</v>
      </c>
      <c r="B5">
        <v>11.073757410049499</v>
      </c>
      <c r="C5">
        <v>-12.062478661537099</v>
      </c>
      <c r="D5">
        <v>12.110999822616602</v>
      </c>
      <c r="E5">
        <v>-12.056631445884701</v>
      </c>
      <c r="F5">
        <v>9.0767455101013041</v>
      </c>
      <c r="G5">
        <v>-12.0552206039429</v>
      </c>
      <c r="H5">
        <v>5.9544932842253999</v>
      </c>
      <c r="I5">
        <v>-6.9864892959595011</v>
      </c>
      <c r="M5" s="1"/>
      <c r="N5" s="1"/>
      <c r="O5">
        <v>25</v>
      </c>
      <c r="P5">
        <f t="shared" si="1"/>
        <v>11.073757410049499</v>
      </c>
      <c r="Q5">
        <f t="shared" si="2"/>
        <v>12.062478661537099</v>
      </c>
      <c r="R5">
        <f t="shared" si="3"/>
        <v>12.110999822616602</v>
      </c>
      <c r="S5">
        <f t="shared" si="4"/>
        <v>12.056631445884701</v>
      </c>
      <c r="T5">
        <f t="shared" si="5"/>
        <v>9.0767455101013041</v>
      </c>
      <c r="U5">
        <f t="shared" si="6"/>
        <v>12.0552206039429</v>
      </c>
      <c r="V5">
        <f t="shared" si="7"/>
        <v>5.9544932842253999</v>
      </c>
      <c r="W5">
        <f t="shared" si="8"/>
        <v>6.9864892959595011</v>
      </c>
    </row>
    <row r="6" spans="1:23" x14ac:dyDescent="0.3">
      <c r="A6">
        <v>50</v>
      </c>
      <c r="B6">
        <v>11.072475314140299</v>
      </c>
      <c r="C6">
        <v>-12.0648819208145</v>
      </c>
      <c r="D6">
        <v>12.110179066658002</v>
      </c>
      <c r="E6">
        <v>-12.0581603050232</v>
      </c>
      <c r="F6">
        <v>9.121672511100801</v>
      </c>
      <c r="G6">
        <v>-12.0237475633621</v>
      </c>
      <c r="H6">
        <v>5.9550672769547006</v>
      </c>
      <c r="I6">
        <v>-6.9887101650237966</v>
      </c>
      <c r="M6" s="1"/>
      <c r="N6" s="1"/>
      <c r="O6">
        <v>50</v>
      </c>
      <c r="P6">
        <f t="shared" si="1"/>
        <v>11.072475314140299</v>
      </c>
      <c r="Q6">
        <f t="shared" si="2"/>
        <v>12.0648819208145</v>
      </c>
      <c r="R6">
        <f t="shared" si="3"/>
        <v>12.110179066658002</v>
      </c>
      <c r="S6">
        <f t="shared" si="4"/>
        <v>12.0581603050232</v>
      </c>
      <c r="T6">
        <f t="shared" si="5"/>
        <v>9.121672511100801</v>
      </c>
      <c r="U6">
        <f t="shared" si="6"/>
        <v>12.0237475633621</v>
      </c>
      <c r="V6">
        <f t="shared" si="7"/>
        <v>5.9550672769547006</v>
      </c>
      <c r="W6">
        <f t="shared" si="8"/>
        <v>6.9887101650237966</v>
      </c>
    </row>
    <row r="7" spans="1:23" x14ac:dyDescent="0.3">
      <c r="A7">
        <v>75</v>
      </c>
      <c r="B7">
        <v>11.097870469093298</v>
      </c>
      <c r="C7">
        <v>-12.032073140144405</v>
      </c>
      <c r="D7">
        <v>12.129764556884801</v>
      </c>
      <c r="E7">
        <v>-12.038059830665599</v>
      </c>
      <c r="F7">
        <v>9.1228044033050999</v>
      </c>
      <c r="G7">
        <v>-12.009676694870002</v>
      </c>
      <c r="H7">
        <v>5.9593802690506017</v>
      </c>
      <c r="I7">
        <v>-6.9863283634185969</v>
      </c>
      <c r="M7" s="1"/>
      <c r="N7" s="1"/>
      <c r="O7">
        <v>75</v>
      </c>
      <c r="P7">
        <f t="shared" si="1"/>
        <v>11.097870469093298</v>
      </c>
      <c r="Q7">
        <f t="shared" si="2"/>
        <v>12.032073140144405</v>
      </c>
      <c r="R7">
        <f t="shared" si="3"/>
        <v>12.129764556884801</v>
      </c>
      <c r="S7">
        <f t="shared" si="4"/>
        <v>12.038059830665599</v>
      </c>
      <c r="T7">
        <f t="shared" si="5"/>
        <v>9.1228044033050999</v>
      </c>
      <c r="U7">
        <f t="shared" si="6"/>
        <v>12.009676694870002</v>
      </c>
      <c r="V7">
        <f t="shared" si="7"/>
        <v>5.9593802690506017</v>
      </c>
      <c r="W7">
        <f t="shared" si="8"/>
        <v>6.9863283634185969</v>
      </c>
    </row>
    <row r="8" spans="1:23" x14ac:dyDescent="0.3">
      <c r="A8">
        <v>100</v>
      </c>
      <c r="B8">
        <v>11.1252665519714</v>
      </c>
      <c r="C8">
        <v>-12.007788419723603</v>
      </c>
      <c r="D8">
        <v>12.1252262592315</v>
      </c>
      <c r="E8">
        <v>-12.040881514549302</v>
      </c>
      <c r="F8">
        <v>9.0980261564255045</v>
      </c>
      <c r="G8">
        <v>-12.044684886932394</v>
      </c>
      <c r="H8">
        <v>5.8271795511245976</v>
      </c>
      <c r="I8">
        <v>-7.1557420492172028</v>
      </c>
      <c r="M8" s="1"/>
      <c r="N8" s="1"/>
      <c r="O8">
        <v>100</v>
      </c>
      <c r="P8">
        <f t="shared" si="1"/>
        <v>11.1252665519714</v>
      </c>
      <c r="Q8">
        <f t="shared" si="2"/>
        <v>12.007788419723603</v>
      </c>
      <c r="R8">
        <f t="shared" si="3"/>
        <v>12.1252262592315</v>
      </c>
      <c r="S8">
        <f t="shared" si="4"/>
        <v>12.040881514549302</v>
      </c>
      <c r="T8">
        <f t="shared" si="5"/>
        <v>9.0980261564255045</v>
      </c>
      <c r="U8">
        <f t="shared" si="6"/>
        <v>12.044684886932394</v>
      </c>
      <c r="V8">
        <f t="shared" si="7"/>
        <v>5.8271795511245976</v>
      </c>
      <c r="W8">
        <f t="shared" si="8"/>
        <v>7.1557420492172028</v>
      </c>
    </row>
    <row r="9" spans="1:23" x14ac:dyDescent="0.3">
      <c r="A9">
        <v>125</v>
      </c>
      <c r="B9">
        <v>11.160709261894201</v>
      </c>
      <c r="C9">
        <v>-11.967002749443001</v>
      </c>
      <c r="D9">
        <v>12.148244976997301</v>
      </c>
      <c r="E9">
        <v>-11.999731063842798</v>
      </c>
      <c r="F9">
        <v>9.1176599264145004</v>
      </c>
      <c r="G9">
        <v>-12.026960849761899</v>
      </c>
      <c r="H9">
        <v>5.9123879671095985</v>
      </c>
      <c r="I9">
        <v>-7.0985412597657032</v>
      </c>
      <c r="M9" s="1"/>
      <c r="N9" s="1"/>
      <c r="O9">
        <v>125</v>
      </c>
      <c r="P9">
        <f t="shared" si="1"/>
        <v>11.160709261894201</v>
      </c>
      <c r="Q9">
        <f t="shared" si="2"/>
        <v>11.967002749443001</v>
      </c>
      <c r="R9">
        <f t="shared" si="3"/>
        <v>12.148244976997301</v>
      </c>
      <c r="S9">
        <f t="shared" si="4"/>
        <v>11.999731063842798</v>
      </c>
      <c r="T9">
        <f t="shared" si="5"/>
        <v>9.1176599264145004</v>
      </c>
      <c r="U9">
        <f t="shared" si="6"/>
        <v>12.026960849761899</v>
      </c>
      <c r="V9">
        <f t="shared" si="7"/>
        <v>5.9123879671095985</v>
      </c>
      <c r="W9">
        <f t="shared" si="8"/>
        <v>7.0985412597657032</v>
      </c>
    </row>
    <row r="10" spans="1:23" x14ac:dyDescent="0.3">
      <c r="A10">
        <v>150</v>
      </c>
      <c r="B10">
        <v>11.138318181037899</v>
      </c>
      <c r="C10">
        <v>-11.977372169494604</v>
      </c>
      <c r="D10">
        <v>12.150004506111099</v>
      </c>
      <c r="E10">
        <v>-12.015802860259999</v>
      </c>
      <c r="F10">
        <v>9.1172361373902042</v>
      </c>
      <c r="G10">
        <v>-12.036337852477999</v>
      </c>
      <c r="H10">
        <v>5.9749585390090978</v>
      </c>
      <c r="I10">
        <v>-7.0130538940430043</v>
      </c>
      <c r="M10" s="1"/>
      <c r="N10" s="1"/>
      <c r="O10">
        <v>150</v>
      </c>
      <c r="P10">
        <f t="shared" si="1"/>
        <v>11.138318181037899</v>
      </c>
      <c r="Q10">
        <f t="shared" si="2"/>
        <v>11.977372169494604</v>
      </c>
      <c r="R10">
        <f t="shared" si="3"/>
        <v>12.150004506111099</v>
      </c>
      <c r="S10">
        <f t="shared" si="4"/>
        <v>12.015802860259999</v>
      </c>
      <c r="T10">
        <f t="shared" si="5"/>
        <v>9.1172361373902042</v>
      </c>
      <c r="U10">
        <f t="shared" si="6"/>
        <v>12.036337852477999</v>
      </c>
      <c r="V10">
        <f t="shared" si="7"/>
        <v>5.9749585390090978</v>
      </c>
      <c r="W10">
        <f t="shared" si="8"/>
        <v>7.0130538940430043</v>
      </c>
    </row>
    <row r="11" spans="1:23" x14ac:dyDescent="0.3">
      <c r="A11">
        <v>175</v>
      </c>
      <c r="B11">
        <v>11.163311004638601</v>
      </c>
      <c r="C11">
        <v>-11.963553428649899</v>
      </c>
      <c r="D11">
        <v>12.172814011573799</v>
      </c>
      <c r="E11">
        <v>-11.9893991947174</v>
      </c>
      <c r="F11">
        <v>9.1446805000305034</v>
      </c>
      <c r="G11">
        <v>-12.016671895980799</v>
      </c>
      <c r="H11">
        <v>5.9669011831282965</v>
      </c>
      <c r="I11">
        <v>-7.019866704940803</v>
      </c>
      <c r="M11" s="1"/>
      <c r="N11" s="1"/>
      <c r="O11">
        <v>175</v>
      </c>
      <c r="P11">
        <f t="shared" si="1"/>
        <v>11.163311004638601</v>
      </c>
      <c r="Q11">
        <f t="shared" si="2"/>
        <v>11.963553428649899</v>
      </c>
      <c r="R11">
        <f t="shared" si="3"/>
        <v>12.172814011573799</v>
      </c>
      <c r="S11">
        <f t="shared" si="4"/>
        <v>11.9893991947174</v>
      </c>
      <c r="T11">
        <f t="shared" si="5"/>
        <v>9.1446805000305034</v>
      </c>
      <c r="U11">
        <f t="shared" si="6"/>
        <v>12.016671895980799</v>
      </c>
      <c r="V11">
        <f t="shared" si="7"/>
        <v>5.9669011831282965</v>
      </c>
      <c r="W11">
        <f t="shared" si="8"/>
        <v>7.019866704940803</v>
      </c>
    </row>
    <row r="12" spans="1:23" x14ac:dyDescent="0.3">
      <c r="A12">
        <v>200</v>
      </c>
      <c r="B12">
        <v>11.160065531730602</v>
      </c>
      <c r="C12">
        <v>-11.955093741416999</v>
      </c>
      <c r="D12">
        <v>12.1919703483582</v>
      </c>
      <c r="E12">
        <v>-11.956542134284998</v>
      </c>
      <c r="F12">
        <v>9.142717123031602</v>
      </c>
      <c r="G12">
        <v>-12.000696659088199</v>
      </c>
      <c r="H12">
        <v>5.968381762504503</v>
      </c>
      <c r="I12">
        <v>-6.9969606399535991</v>
      </c>
      <c r="M12" s="1"/>
      <c r="N12" s="1"/>
      <c r="O12">
        <v>200</v>
      </c>
      <c r="P12">
        <f t="shared" si="1"/>
        <v>11.160065531730602</v>
      </c>
      <c r="Q12">
        <f t="shared" si="2"/>
        <v>11.955093741416999</v>
      </c>
      <c r="R12">
        <f t="shared" si="3"/>
        <v>12.1919703483582</v>
      </c>
      <c r="S12">
        <f t="shared" si="4"/>
        <v>11.956542134284998</v>
      </c>
      <c r="T12">
        <f t="shared" si="5"/>
        <v>9.142717123031602</v>
      </c>
      <c r="U12">
        <f t="shared" si="6"/>
        <v>12.000696659088199</v>
      </c>
      <c r="V12">
        <f t="shared" si="7"/>
        <v>5.968381762504503</v>
      </c>
      <c r="W12">
        <f t="shared" si="8"/>
        <v>6.9969606399535991</v>
      </c>
    </row>
    <row r="15" spans="1:23" x14ac:dyDescent="0.3">
      <c r="B15" t="s">
        <v>18</v>
      </c>
      <c r="C15" t="s">
        <v>14</v>
      </c>
    </row>
    <row r="16" spans="1:23" x14ac:dyDescent="0.3">
      <c r="B16" t="s">
        <v>19</v>
      </c>
      <c r="C16" t="s">
        <v>16</v>
      </c>
    </row>
  </sheetData>
  <mergeCells count="1">
    <mergeCell ref="M1:N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F01C-FFDF-4824-8FF8-7E69927F41F4}">
  <dimension ref="A1:W15"/>
  <sheetViews>
    <sheetView topLeftCell="J1" workbookViewId="0">
      <selection activeCell="P27" sqref="P27"/>
    </sheetView>
  </sheetViews>
  <sheetFormatPr defaultRowHeight="14.4" x14ac:dyDescent="0.3"/>
  <cols>
    <col min="2" max="2" width="21.6640625" bestFit="1" customWidth="1"/>
    <col min="3" max="3" width="21.33203125" bestFit="1" customWidth="1"/>
    <col min="4" max="4" width="21.6640625" bestFit="1" customWidth="1"/>
    <col min="5" max="5" width="21.33203125" bestFit="1" customWidth="1"/>
    <col min="6" max="6" width="21.6640625" bestFit="1" customWidth="1"/>
    <col min="7" max="7" width="21.33203125" bestFit="1" customWidth="1"/>
    <col min="8" max="8" width="19" bestFit="1" customWidth="1"/>
    <col min="9" max="9" width="18.5546875" bestFit="1" customWidth="1"/>
    <col min="14" max="14" width="11.77734375" customWidth="1"/>
    <col min="16" max="16" width="24.5546875" bestFit="1" customWidth="1"/>
    <col min="17" max="17" width="26" bestFit="1" customWidth="1"/>
    <col min="18" max="18" width="24.5546875" bestFit="1" customWidth="1"/>
    <col min="19" max="19" width="26" bestFit="1" customWidth="1"/>
    <col min="20" max="20" width="24.5546875" bestFit="1" customWidth="1"/>
    <col min="21" max="21" width="26" bestFit="1" customWidth="1"/>
    <col min="22" max="22" width="21.21875" bestFit="1" customWidth="1"/>
    <col min="23" max="23" width="22.6640625" bestFit="1" customWidth="1"/>
  </cols>
  <sheetData>
    <row r="1" spans="1:23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M1" s="1" t="s">
        <v>28</v>
      </c>
      <c r="N1" s="1"/>
      <c r="O1" t="s">
        <v>0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</row>
    <row r="2" spans="1:23" x14ac:dyDescent="0.3">
      <c r="A2">
        <v>-50</v>
      </c>
      <c r="B2">
        <v>8.5583969950675964</v>
      </c>
      <c r="C2">
        <v>-9.0446375310421043</v>
      </c>
      <c r="D2">
        <v>8.6234007962048018</v>
      </c>
      <c r="E2">
        <v>-9.5036971382796782</v>
      </c>
      <c r="F2">
        <v>8.0550180748105049</v>
      </c>
      <c r="G2">
        <v>-10.557161085307646</v>
      </c>
      <c r="H2">
        <v>8.620548062026506</v>
      </c>
      <c r="I2">
        <v>-6.0561308637261346</v>
      </c>
      <c r="M2" s="1"/>
      <c r="N2" s="1"/>
      <c r="O2">
        <v>-50</v>
      </c>
      <c r="P2">
        <f>ABS(B2)</f>
        <v>8.5583969950675964</v>
      </c>
      <c r="Q2">
        <f t="shared" ref="Q2:W12" si="0">ABS(C2)</f>
        <v>9.0446375310421043</v>
      </c>
      <c r="R2">
        <f t="shared" si="0"/>
        <v>8.6234007962048018</v>
      </c>
      <c r="S2">
        <f t="shared" si="0"/>
        <v>9.5036971382796782</v>
      </c>
      <c r="T2">
        <f t="shared" si="0"/>
        <v>8.0550180748105049</v>
      </c>
      <c r="U2">
        <f t="shared" si="0"/>
        <v>10.557161085307646</v>
      </c>
      <c r="V2">
        <f t="shared" si="0"/>
        <v>8.620548062026506</v>
      </c>
      <c r="W2">
        <f t="shared" si="0"/>
        <v>6.0561308637261346</v>
      </c>
    </row>
    <row r="3" spans="1:23" x14ac:dyDescent="0.3">
      <c r="A3">
        <v>-25</v>
      </c>
      <c r="B3">
        <v>8.356488496065138</v>
      </c>
      <c r="C3">
        <v>-9.1718502342700923</v>
      </c>
      <c r="D3">
        <v>8.4833924658596569</v>
      </c>
      <c r="E3">
        <v>-9.5978501252830046</v>
      </c>
      <c r="F3">
        <v>7.9337449744343722</v>
      </c>
      <c r="G3">
        <v>-10.582950524985819</v>
      </c>
      <c r="H3">
        <v>7.4163498356938335</v>
      </c>
      <c r="I3">
        <v>-7.8578842803835869</v>
      </c>
      <c r="M3" s="1"/>
      <c r="N3" s="1"/>
      <c r="O3">
        <v>-25</v>
      </c>
      <c r="P3">
        <f t="shared" ref="P3:P12" si="1">ABS(B3)</f>
        <v>8.356488496065138</v>
      </c>
      <c r="Q3">
        <f t="shared" si="0"/>
        <v>9.1718502342700923</v>
      </c>
      <c r="R3">
        <f t="shared" si="0"/>
        <v>8.4833924658596569</v>
      </c>
      <c r="S3">
        <f t="shared" si="0"/>
        <v>9.5978501252830046</v>
      </c>
      <c r="T3">
        <f t="shared" si="0"/>
        <v>7.9337449744343722</v>
      </c>
      <c r="U3">
        <f t="shared" si="0"/>
        <v>10.582950524985819</v>
      </c>
      <c r="V3">
        <f t="shared" si="0"/>
        <v>7.4163498356938335</v>
      </c>
      <c r="W3">
        <f t="shared" si="0"/>
        <v>7.8578842803835869</v>
      </c>
    </row>
    <row r="4" spans="1:23" x14ac:dyDescent="0.3">
      <c r="A4">
        <v>0</v>
      </c>
      <c r="B4">
        <v>8.3151786588132364</v>
      </c>
      <c r="C4">
        <v>-9.1863186098635232</v>
      </c>
      <c r="D4">
        <v>8.4291455335915071</v>
      </c>
      <c r="E4">
        <v>-9.6180888824164832</v>
      </c>
      <c r="F4">
        <v>7.8535282984375909</v>
      </c>
      <c r="G4">
        <v>-10.636835359036899</v>
      </c>
      <c r="H4">
        <v>6.9437365047633666</v>
      </c>
      <c r="I4">
        <v>-8.3254692144691944</v>
      </c>
      <c r="M4" s="1"/>
      <c r="N4" s="1"/>
      <c r="O4">
        <v>0</v>
      </c>
      <c r="P4">
        <f t="shared" si="1"/>
        <v>8.3151786588132364</v>
      </c>
      <c r="Q4">
        <f t="shared" si="0"/>
        <v>9.1863186098635232</v>
      </c>
      <c r="R4">
        <f t="shared" si="0"/>
        <v>8.4291455335915071</v>
      </c>
      <c r="S4">
        <f t="shared" si="0"/>
        <v>9.6180888824164832</v>
      </c>
      <c r="T4">
        <f t="shared" si="0"/>
        <v>7.8535282984375909</v>
      </c>
      <c r="U4">
        <f t="shared" si="0"/>
        <v>10.636835359036899</v>
      </c>
      <c r="V4">
        <f t="shared" si="0"/>
        <v>6.9437365047633666</v>
      </c>
      <c r="W4">
        <f t="shared" si="0"/>
        <v>8.3254692144691944</v>
      </c>
    </row>
    <row r="5" spans="1:23" x14ac:dyDescent="0.3">
      <c r="A5">
        <v>25</v>
      </c>
      <c r="B5">
        <v>8.3270522765815222</v>
      </c>
      <c r="C5">
        <v>-9.2047189362347073</v>
      </c>
      <c r="D5">
        <v>8.4335023537278211</v>
      </c>
      <c r="E5">
        <v>-9.6169797703623789</v>
      </c>
      <c r="F5">
        <v>7.8644059598445901</v>
      </c>
      <c r="G5">
        <v>-10.6215089559555</v>
      </c>
      <c r="H5">
        <v>7.0717688649892843</v>
      </c>
      <c r="I5">
        <v>-8.5270922631025368</v>
      </c>
      <c r="M5" s="1"/>
      <c r="N5" s="1"/>
      <c r="O5">
        <v>25</v>
      </c>
      <c r="P5">
        <f t="shared" si="1"/>
        <v>8.3270522765815222</v>
      </c>
      <c r="Q5">
        <f t="shared" si="0"/>
        <v>9.2047189362347073</v>
      </c>
      <c r="R5">
        <f t="shared" si="0"/>
        <v>8.4335023537278211</v>
      </c>
      <c r="S5">
        <f t="shared" si="0"/>
        <v>9.6169797703623789</v>
      </c>
      <c r="T5">
        <f t="shared" si="0"/>
        <v>7.8644059598445901</v>
      </c>
      <c r="U5">
        <f t="shared" si="0"/>
        <v>10.6215089559555</v>
      </c>
      <c r="V5">
        <f t="shared" si="0"/>
        <v>7.0717688649892843</v>
      </c>
      <c r="W5">
        <f t="shared" si="0"/>
        <v>8.5270922631025368</v>
      </c>
    </row>
    <row r="6" spans="1:23" x14ac:dyDescent="0.3">
      <c r="A6">
        <v>50</v>
      </c>
      <c r="B6">
        <v>8.3194022998213804</v>
      </c>
      <c r="C6">
        <v>-9.2527175322175008</v>
      </c>
      <c r="D6">
        <v>8.4202184341847897</v>
      </c>
      <c r="E6">
        <v>-9.6294031478464603</v>
      </c>
      <c r="F6">
        <v>7.8684160485863694</v>
      </c>
      <c r="G6">
        <v>-10.630920343101071</v>
      </c>
      <c r="H6">
        <v>7.3455667123198527</v>
      </c>
      <c r="I6">
        <v>-8.7875539436936361</v>
      </c>
      <c r="M6" s="1"/>
      <c r="N6" s="1"/>
      <c r="O6">
        <v>50</v>
      </c>
      <c r="P6">
        <f t="shared" si="1"/>
        <v>8.3194022998213804</v>
      </c>
      <c r="Q6">
        <f t="shared" si="0"/>
        <v>9.2527175322175008</v>
      </c>
      <c r="R6">
        <f t="shared" si="0"/>
        <v>8.4202184341847897</v>
      </c>
      <c r="S6">
        <f t="shared" si="0"/>
        <v>9.6294031478464603</v>
      </c>
      <c r="T6">
        <f t="shared" si="0"/>
        <v>7.8684160485863694</v>
      </c>
      <c r="U6">
        <f t="shared" si="0"/>
        <v>10.630920343101071</v>
      </c>
      <c r="V6">
        <f t="shared" si="0"/>
        <v>7.3455667123198527</v>
      </c>
      <c r="W6">
        <f t="shared" si="0"/>
        <v>8.7875539436936361</v>
      </c>
    </row>
    <row r="7" spans="1:23" x14ac:dyDescent="0.3">
      <c r="A7">
        <v>75</v>
      </c>
      <c r="B7">
        <v>8.3231061697006226</v>
      </c>
      <c r="C7">
        <v>-9.2836186289787275</v>
      </c>
      <c r="D7">
        <v>8.4144658409059048</v>
      </c>
      <c r="E7">
        <v>-9.6288413740694541</v>
      </c>
      <c r="F7">
        <v>7.8685580752789965</v>
      </c>
      <c r="G7">
        <v>-10.664410982280943</v>
      </c>
      <c r="H7">
        <v>7.6049960218369952</v>
      </c>
      <c r="I7">
        <v>-8.991006109863525</v>
      </c>
      <c r="M7" s="1"/>
      <c r="N7" s="1"/>
      <c r="O7">
        <v>75</v>
      </c>
      <c r="P7">
        <f t="shared" si="1"/>
        <v>8.3231061697006226</v>
      </c>
      <c r="Q7">
        <f t="shared" si="0"/>
        <v>9.2836186289787275</v>
      </c>
      <c r="R7">
        <f t="shared" si="0"/>
        <v>8.4144658409059048</v>
      </c>
      <c r="S7">
        <f t="shared" si="0"/>
        <v>9.6288413740694541</v>
      </c>
      <c r="T7">
        <f t="shared" si="0"/>
        <v>7.8685580752789965</v>
      </c>
      <c r="U7">
        <f t="shared" si="0"/>
        <v>10.664410982280943</v>
      </c>
      <c r="V7">
        <f t="shared" si="0"/>
        <v>7.6049960218369952</v>
      </c>
      <c r="W7">
        <f t="shared" si="0"/>
        <v>8.991006109863525</v>
      </c>
    </row>
    <row r="8" spans="1:23" x14ac:dyDescent="0.3">
      <c r="A8">
        <v>100</v>
      </c>
      <c r="B8">
        <v>8.3009700290858781</v>
      </c>
      <c r="C8">
        <v>-9.3296659179031813</v>
      </c>
      <c r="D8">
        <v>8.433063048869375</v>
      </c>
      <c r="E8">
        <v>-9.6512558870017546</v>
      </c>
      <c r="F8">
        <v>7.8819542191922682</v>
      </c>
      <c r="G8">
        <v>-10.701800975948602</v>
      </c>
      <c r="H8">
        <v>7.3037067428231275</v>
      </c>
      <c r="I8">
        <v>-10.058601759374152</v>
      </c>
      <c r="M8" s="1"/>
      <c r="N8" s="1"/>
      <c r="O8">
        <v>100</v>
      </c>
      <c r="P8">
        <f t="shared" si="1"/>
        <v>8.3009700290858781</v>
      </c>
      <c r="Q8">
        <f t="shared" si="0"/>
        <v>9.3296659179031813</v>
      </c>
      <c r="R8">
        <f t="shared" si="0"/>
        <v>8.433063048869375</v>
      </c>
      <c r="S8">
        <f t="shared" si="0"/>
        <v>9.6512558870017546</v>
      </c>
      <c r="T8">
        <f t="shared" si="0"/>
        <v>7.8819542191922682</v>
      </c>
      <c r="U8">
        <f t="shared" si="0"/>
        <v>10.701800975948602</v>
      </c>
      <c r="V8">
        <f t="shared" si="0"/>
        <v>7.3037067428231275</v>
      </c>
      <c r="W8">
        <f t="shared" si="0"/>
        <v>10.058601759374152</v>
      </c>
    </row>
    <row r="9" spans="1:23" x14ac:dyDescent="0.3">
      <c r="A9">
        <v>125</v>
      </c>
      <c r="B9">
        <v>8.291159849613905</v>
      </c>
      <c r="C9">
        <v>-9.3802352435886842</v>
      </c>
      <c r="D9">
        <v>8.4650808013975585</v>
      </c>
      <c r="E9">
        <v>-9.6625774167478102</v>
      </c>
      <c r="F9">
        <v>7.8839414753019801</v>
      </c>
      <c r="G9">
        <v>-10.71330597624182</v>
      </c>
      <c r="H9">
        <v>7.146356347948311</v>
      </c>
      <c r="I9">
        <v>-10.88634347543122</v>
      </c>
      <c r="M9" s="1"/>
      <c r="N9" s="1"/>
      <c r="O9">
        <v>125</v>
      </c>
      <c r="P9">
        <f t="shared" si="1"/>
        <v>8.291159849613905</v>
      </c>
      <c r="Q9">
        <f t="shared" si="0"/>
        <v>9.3802352435886842</v>
      </c>
      <c r="R9">
        <f t="shared" si="0"/>
        <v>8.4650808013975585</v>
      </c>
      <c r="S9">
        <f t="shared" si="0"/>
        <v>9.6625774167478102</v>
      </c>
      <c r="T9">
        <f t="shared" si="0"/>
        <v>7.8839414753019801</v>
      </c>
      <c r="U9">
        <f t="shared" si="0"/>
        <v>10.71330597624182</v>
      </c>
      <c r="V9">
        <f t="shared" si="0"/>
        <v>7.146356347948311</v>
      </c>
      <c r="W9">
        <f t="shared" si="0"/>
        <v>10.88634347543122</v>
      </c>
    </row>
    <row r="10" spans="1:23" x14ac:dyDescent="0.3">
      <c r="A10">
        <v>150</v>
      </c>
      <c r="B10">
        <v>8.2644758746028</v>
      </c>
      <c r="C10">
        <v>-9.4384254887700116</v>
      </c>
      <c r="D10">
        <v>8.4867289289832097</v>
      </c>
      <c r="E10">
        <v>-9.7042815759777987</v>
      </c>
      <c r="F10">
        <v>7.9274182207882431</v>
      </c>
      <c r="G10">
        <v>-10.765158664435116</v>
      </c>
      <c r="H10">
        <v>7.1756498888134947</v>
      </c>
      <c r="I10">
        <v>-11.565585248172315</v>
      </c>
      <c r="M10" s="1"/>
      <c r="N10" s="1"/>
      <c r="O10">
        <v>150</v>
      </c>
      <c r="P10">
        <f t="shared" si="1"/>
        <v>8.2644758746028</v>
      </c>
      <c r="Q10">
        <f t="shared" si="0"/>
        <v>9.4384254887700116</v>
      </c>
      <c r="R10">
        <f t="shared" si="0"/>
        <v>8.4867289289832097</v>
      </c>
      <c r="S10">
        <f t="shared" si="0"/>
        <v>9.7042815759777987</v>
      </c>
      <c r="T10">
        <f t="shared" si="0"/>
        <v>7.9274182207882431</v>
      </c>
      <c r="U10">
        <f t="shared" si="0"/>
        <v>10.765158664435116</v>
      </c>
      <c r="V10">
        <f t="shared" si="0"/>
        <v>7.1756498888134947</v>
      </c>
      <c r="W10">
        <f t="shared" si="0"/>
        <v>11.565585248172315</v>
      </c>
    </row>
    <row r="11" spans="1:23" x14ac:dyDescent="0.3">
      <c r="A11">
        <v>175</v>
      </c>
      <c r="B11">
        <v>8.267623465508219</v>
      </c>
      <c r="C11">
        <v>-9.4623346813023108</v>
      </c>
      <c r="D11">
        <v>8.5115293972194248</v>
      </c>
      <c r="E11">
        <v>-9.7423401661217266</v>
      </c>
      <c r="F11">
        <v>7.9520463943481472</v>
      </c>
      <c r="G11">
        <v>-10.783435404300663</v>
      </c>
      <c r="H11">
        <v>7.2847752831876234</v>
      </c>
      <c r="I11">
        <v>-12.317556235939247</v>
      </c>
      <c r="M11" s="1"/>
      <c r="N11" s="1"/>
      <c r="O11">
        <v>175</v>
      </c>
      <c r="P11">
        <f t="shared" si="1"/>
        <v>8.267623465508219</v>
      </c>
      <c r="Q11">
        <f t="shared" si="0"/>
        <v>9.4623346813023108</v>
      </c>
      <c r="R11">
        <f t="shared" si="0"/>
        <v>8.5115293972194248</v>
      </c>
      <c r="S11">
        <f t="shared" si="0"/>
        <v>9.7423401661217266</v>
      </c>
      <c r="T11">
        <f t="shared" si="0"/>
        <v>7.9520463943481472</v>
      </c>
      <c r="U11">
        <f t="shared" si="0"/>
        <v>10.783435404300663</v>
      </c>
      <c r="V11">
        <f t="shared" si="0"/>
        <v>7.2847752831876234</v>
      </c>
      <c r="W11">
        <f t="shared" si="0"/>
        <v>12.317556235939247</v>
      </c>
    </row>
    <row r="12" spans="1:23" x14ac:dyDescent="0.3">
      <c r="A12">
        <v>200</v>
      </c>
      <c r="B12">
        <v>8.2756012678146398</v>
      </c>
      <c r="C12">
        <v>-9.5000818371772802</v>
      </c>
      <c r="D12">
        <v>8.5481088608503306</v>
      </c>
      <c r="E12">
        <v>-9.7802903503179586</v>
      </c>
      <c r="F12">
        <v>7.9565622843801966</v>
      </c>
      <c r="G12">
        <v>-10.812827106565233</v>
      </c>
      <c r="H12">
        <v>7.3088424280285871</v>
      </c>
      <c r="I12">
        <v>-13.126130215823613</v>
      </c>
      <c r="M12" s="1"/>
      <c r="N12" s="1"/>
      <c r="O12">
        <v>200</v>
      </c>
      <c r="P12">
        <f t="shared" si="1"/>
        <v>8.2756012678146398</v>
      </c>
      <c r="Q12">
        <f t="shared" si="0"/>
        <v>9.5000818371772802</v>
      </c>
      <c r="R12">
        <f t="shared" si="0"/>
        <v>8.5481088608503306</v>
      </c>
      <c r="S12">
        <f t="shared" si="0"/>
        <v>9.7802903503179586</v>
      </c>
      <c r="T12">
        <f t="shared" si="0"/>
        <v>7.9565622843801966</v>
      </c>
      <c r="U12">
        <f t="shared" si="0"/>
        <v>10.812827106565233</v>
      </c>
      <c r="V12">
        <f t="shared" si="0"/>
        <v>7.3088424280285871</v>
      </c>
      <c r="W12">
        <f t="shared" si="0"/>
        <v>13.126130215823613</v>
      </c>
    </row>
    <row r="14" spans="1:23" x14ac:dyDescent="0.3">
      <c r="B14" t="s">
        <v>13</v>
      </c>
      <c r="C14" t="s">
        <v>14</v>
      </c>
    </row>
    <row r="15" spans="1:23" x14ac:dyDescent="0.3">
      <c r="B15" t="s">
        <v>15</v>
      </c>
      <c r="C15" t="s">
        <v>16</v>
      </c>
    </row>
  </sheetData>
  <mergeCells count="1">
    <mergeCell ref="M1:N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hysteresis area</vt:lpstr>
      <vt:lpstr>boundary</vt:lpstr>
      <vt:lpstr>peak_load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Siril Teja Dukkipati</dc:creator>
  <cp:keywords/>
  <dc:description/>
  <cp:lastModifiedBy>Siril Dukkipati</cp:lastModifiedBy>
  <cp:revision/>
  <dcterms:created xsi:type="dcterms:W3CDTF">2015-06-05T18:17:20Z</dcterms:created>
  <dcterms:modified xsi:type="dcterms:W3CDTF">2026-03-03T05:55:07Z</dcterms:modified>
  <cp:category/>
  <cp:contentStatus/>
</cp:coreProperties>
</file>