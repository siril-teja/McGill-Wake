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-my.sharepoint.com/personal/siril_dukkipati_mail_mcgill_ca/Documents/_Research/Academics/0. TIM Research/McGill - Wakeforest project/McGill-Wakeforest Share/Github Repository/2. Summary Data/"/>
    </mc:Choice>
  </mc:AlternateContent>
  <xr:revisionPtr revIDLastSave="57" documentId="13_ncr:1_{DF038DD7-5B8C-44B7-96F6-FC15513E195E}" xr6:coauthVersionLast="47" xr6:coauthVersionMax="47" xr10:uidLastSave="{78338D25-0D7C-4139-82A7-778366FACDE9}"/>
  <bookViews>
    <workbookView xWindow="-108" yWindow="-108" windowWidth="23256" windowHeight="13896" activeTab="1" xr2:uid="{7578428D-0C7D-4136-B1B9-C465D3CECB6A}"/>
  </bookViews>
  <sheets>
    <sheet name="hysteresis_area" sheetId="2" r:id="rId1"/>
    <sheet name="boundary" sheetId="3" r:id="rId2"/>
    <sheet name="peak_loa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" i="4" l="1"/>
  <c r="T12" i="4"/>
  <c r="S12" i="4"/>
  <c r="R12" i="4"/>
  <c r="Q12" i="4"/>
  <c r="P12" i="4"/>
  <c r="O12" i="4"/>
  <c r="N12" i="4"/>
  <c r="U11" i="4"/>
  <c r="T11" i="4"/>
  <c r="S11" i="4"/>
  <c r="R11" i="4"/>
  <c r="Q11" i="4"/>
  <c r="P11" i="4"/>
  <c r="O11" i="4"/>
  <c r="N11" i="4"/>
  <c r="U10" i="4"/>
  <c r="T10" i="4"/>
  <c r="S10" i="4"/>
  <c r="R10" i="4"/>
  <c r="Q10" i="4"/>
  <c r="P10" i="4"/>
  <c r="O10" i="4"/>
  <c r="N10" i="4"/>
  <c r="U9" i="4"/>
  <c r="T9" i="4"/>
  <c r="S9" i="4"/>
  <c r="R9" i="4"/>
  <c r="Q9" i="4"/>
  <c r="P9" i="4"/>
  <c r="O9" i="4"/>
  <c r="N9" i="4"/>
  <c r="U8" i="4"/>
  <c r="T8" i="4"/>
  <c r="S8" i="4"/>
  <c r="R8" i="4"/>
  <c r="Q8" i="4"/>
  <c r="P8" i="4"/>
  <c r="O8" i="4"/>
  <c r="N8" i="4"/>
  <c r="U7" i="4"/>
  <c r="T7" i="4"/>
  <c r="S7" i="4"/>
  <c r="R7" i="4"/>
  <c r="Q7" i="4"/>
  <c r="P7" i="4"/>
  <c r="O7" i="4"/>
  <c r="N7" i="4"/>
  <c r="U6" i="4"/>
  <c r="T6" i="4"/>
  <c r="S6" i="4"/>
  <c r="R6" i="4"/>
  <c r="Q6" i="4"/>
  <c r="P6" i="4"/>
  <c r="O6" i="4"/>
  <c r="N6" i="4"/>
  <c r="U5" i="4"/>
  <c r="T5" i="4"/>
  <c r="S5" i="4"/>
  <c r="R5" i="4"/>
  <c r="Q5" i="4"/>
  <c r="P5" i="4"/>
  <c r="O5" i="4"/>
  <c r="N5" i="4"/>
  <c r="U4" i="4"/>
  <c r="T4" i="4"/>
  <c r="S4" i="4"/>
  <c r="R4" i="4"/>
  <c r="Q4" i="4"/>
  <c r="P4" i="4"/>
  <c r="O4" i="4"/>
  <c r="N4" i="4"/>
  <c r="U3" i="4"/>
  <c r="T3" i="4"/>
  <c r="S3" i="4"/>
  <c r="R3" i="4"/>
  <c r="Q3" i="4"/>
  <c r="P3" i="4"/>
  <c r="O3" i="4"/>
  <c r="N3" i="4"/>
  <c r="U2" i="4"/>
  <c r="T2" i="4"/>
  <c r="S2" i="4"/>
  <c r="R2" i="4"/>
  <c r="Q2" i="4"/>
  <c r="P2" i="4"/>
  <c r="O2" i="4"/>
  <c r="N2" i="4"/>
  <c r="O3" i="3"/>
  <c r="P3" i="3"/>
  <c r="Q3" i="3"/>
  <c r="R3" i="3"/>
  <c r="S3" i="3"/>
  <c r="T3" i="3"/>
  <c r="U3" i="3"/>
  <c r="O4" i="3"/>
  <c r="P4" i="3"/>
  <c r="Q4" i="3"/>
  <c r="R4" i="3"/>
  <c r="S4" i="3"/>
  <c r="T4" i="3"/>
  <c r="U4" i="3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7" i="3"/>
  <c r="P7" i="3"/>
  <c r="Q7" i="3"/>
  <c r="R7" i="3"/>
  <c r="S7" i="3"/>
  <c r="T7" i="3"/>
  <c r="U7" i="3"/>
  <c r="O8" i="3"/>
  <c r="P8" i="3"/>
  <c r="Q8" i="3"/>
  <c r="R8" i="3"/>
  <c r="S8" i="3"/>
  <c r="T8" i="3"/>
  <c r="U8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1" i="3"/>
  <c r="P11" i="3"/>
  <c r="Q11" i="3"/>
  <c r="R11" i="3"/>
  <c r="S11" i="3"/>
  <c r="T11" i="3"/>
  <c r="U11" i="3"/>
  <c r="O12" i="3"/>
  <c r="P12" i="3"/>
  <c r="Q12" i="3"/>
  <c r="R12" i="3"/>
  <c r="S12" i="3"/>
  <c r="T12" i="3"/>
  <c r="U12" i="3"/>
  <c r="O2" i="3"/>
  <c r="P2" i="3"/>
  <c r="Q2" i="3"/>
  <c r="R2" i="3"/>
  <c r="S2" i="3"/>
  <c r="T2" i="3"/>
  <c r="U2" i="3"/>
  <c r="N3" i="3"/>
  <c r="N4" i="3"/>
  <c r="N5" i="3"/>
  <c r="N6" i="3"/>
  <c r="N7" i="3"/>
  <c r="N8" i="3"/>
  <c r="N9" i="3"/>
  <c r="N10" i="3"/>
  <c r="N11" i="3"/>
  <c r="N12" i="3"/>
  <c r="N2" i="3"/>
</calcChain>
</file>

<file path=xl/sharedStrings.xml><?xml version="1.0" encoding="utf-8"?>
<sst xmlns="http://schemas.openxmlformats.org/spreadsheetml/2006/main" count="49" uniqueCount="29">
  <si>
    <t>Sawbones</t>
  </si>
  <si>
    <t>McGill_Surrogate1</t>
  </si>
  <si>
    <t>McGill_Surrogate2</t>
  </si>
  <si>
    <t>McGill_Surrogate3</t>
  </si>
  <si>
    <t>Level</t>
  </si>
  <si>
    <t>McGill_Surrogate1_min</t>
  </si>
  <si>
    <t>McGill_Surrogate1_max</t>
  </si>
  <si>
    <t>Sawbones_min</t>
  </si>
  <si>
    <t>Sawbones_max</t>
  </si>
  <si>
    <t>McGill_Surrogate2_min</t>
  </si>
  <si>
    <t>McGill_Surrogate2_max</t>
  </si>
  <si>
    <t>McGill_Surrogate3_min</t>
  </si>
  <si>
    <t>McGill_Surrogate3_max</t>
  </si>
  <si>
    <t>directions are flipped here. Refer origin file</t>
  </si>
  <si>
    <t>positive</t>
  </si>
  <si>
    <t>negative</t>
  </si>
  <si>
    <t>right AR</t>
  </si>
  <si>
    <t>left AR</t>
  </si>
  <si>
    <t>Confirm this with Emma</t>
  </si>
  <si>
    <t>With Absolute values</t>
  </si>
  <si>
    <t>Dataset</t>
  </si>
  <si>
    <t>AR-C_Sawbones_LeftAR</t>
  </si>
  <si>
    <t>AR-C_Sawbones_RightAR</t>
  </si>
  <si>
    <t>AR-C_Wake_Spec1_LeftAR</t>
  </si>
  <si>
    <t>AR-C_Wake_Spec1_RightAR</t>
  </si>
  <si>
    <t>AR-C_Wake_Spec2_LeftAR</t>
  </si>
  <si>
    <t>AR-C_Wake_Spec2_RightAR</t>
  </si>
  <si>
    <t>AR-C_Wake_Spec3_LeftAR</t>
  </si>
  <si>
    <t>AR-C_Wake_Spec3_RightAR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</si>
</sst>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McGill_Surrogate1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1"/>
              <c:pt idx="0">
                <c:v>99.598922684399042</c:v>
              </c:pt>
              <c:pt idx="1">
                <c:v>96.024580146418373</c:v>
              </c:pt>
              <c:pt idx="2">
                <c:v>97.425380592005951</c:v>
              </c:pt>
              <c:pt idx="3">
                <c:v>96.898916269550114</c:v>
              </c:pt>
              <c:pt idx="4">
                <c:v>97.829599641850322</c:v>
              </c:pt>
              <c:pt idx="5">
                <c:v>98.258508455515965</c:v>
              </c:pt>
              <c:pt idx="6">
                <c:v>98.242878570687765</c:v>
              </c:pt>
              <c:pt idx="7">
                <c:v>98.534426442470831</c:v>
              </c:pt>
              <c:pt idx="8">
                <c:v>98.389762864840918</c:v>
              </c:pt>
              <c:pt idx="9">
                <c:v>98.153530910309442</c:v>
              </c:pt>
              <c:pt idx="10">
                <c:v>98.862766312340298</c:v>
              </c:pt>
            </c:numLit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hysteresis_area!#REF!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8F5-4CDD-AD08-33398D9E39CB}"/>
            </c:ext>
          </c:extLst>
        </c:ser>
        <c:ser>
          <c:idx val="1"/>
          <c:order val="1"/>
          <c:tx>
            <c:v>Sawbones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1"/>
              <c:pt idx="0">
                <c:v>8.0773654576855733</c:v>
              </c:pt>
              <c:pt idx="1">
                <c:v>13.83135931574121</c:v>
              </c:pt>
              <c:pt idx="2">
                <c:v>9.1440614754898526</c:v>
              </c:pt>
              <c:pt idx="3">
                <c:v>12.316575320498931</c:v>
              </c:pt>
              <c:pt idx="4">
                <c:v>14.48479705829596</c:v>
              </c:pt>
              <c:pt idx="5">
                <c:v>8.897426076814611</c:v>
              </c:pt>
              <c:pt idx="6">
                <c:v>12.38800169812531</c:v>
              </c:pt>
              <c:pt idx="7">
                <c:v>12.68816918166304</c:v>
              </c:pt>
              <c:pt idx="8">
                <c:v>11.341755734434249</c:v>
              </c:pt>
              <c:pt idx="9">
                <c:v>14.86584038349419</c:v>
              </c:pt>
              <c:pt idx="10">
                <c:v>16.365273286869179</c:v>
              </c:pt>
            </c:numLit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hysteresis_area!#REF!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8F5-4CDD-AD08-33398D9E39CB}"/>
            </c:ext>
          </c:extLst>
        </c:ser>
        <c:ser>
          <c:idx val="2"/>
          <c:order val="2"/>
          <c:tx>
            <c:v>McGill_Surrogate2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1"/>
              <c:pt idx="0">
                <c:v>96.503417325706181</c:v>
              </c:pt>
              <c:pt idx="1">
                <c:v>92.594236918423078</c:v>
              </c:pt>
              <c:pt idx="2">
                <c:v>92.081671120405389</c:v>
              </c:pt>
              <c:pt idx="3">
                <c:v>93.357304007989683</c:v>
              </c:pt>
              <c:pt idx="4">
                <c:v>94.258814776115287</c:v>
              </c:pt>
              <c:pt idx="5">
                <c:v>95.362174371732465</c:v>
              </c:pt>
              <c:pt idx="6">
                <c:v>95.986976006102452</c:v>
              </c:pt>
              <c:pt idx="7">
                <c:v>96.958098680569378</c:v>
              </c:pt>
              <c:pt idx="8">
                <c:v>97.569161446416601</c:v>
              </c:pt>
              <c:pt idx="9">
                <c:v>98.039931812076617</c:v>
              </c:pt>
              <c:pt idx="10">
                <c:v>98.476875562346237</c:v>
              </c:pt>
            </c:numLit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hysteresis_area!#REF!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8F5-4CDD-AD08-33398D9E39CB}"/>
            </c:ext>
          </c:extLst>
        </c:ser>
        <c:ser>
          <c:idx val="3"/>
          <c:order val="3"/>
          <c:tx>
            <c:v>McGill_Surrogate3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1"/>
              <c:pt idx="0">
                <c:v>80.905456945135498</c:v>
              </c:pt>
              <c:pt idx="1">
                <c:v>77.618570860175367</c:v>
              </c:pt>
              <c:pt idx="2">
                <c:v>77.866358817361331</c:v>
              </c:pt>
              <c:pt idx="3">
                <c:v>78.7272616731059</c:v>
              </c:pt>
              <c:pt idx="4">
                <c:v>79.831727314772166</c:v>
              </c:pt>
              <c:pt idx="5">
                <c:v>78.666232055804784</c:v>
              </c:pt>
              <c:pt idx="6">
                <c:v>82.037624994226377</c:v>
              </c:pt>
              <c:pt idx="7">
                <c:v>82.758528137293212</c:v>
              </c:pt>
              <c:pt idx="8">
                <c:v>82.737201050664396</c:v>
              </c:pt>
              <c:pt idx="9">
                <c:v>84.11653135677463</c:v>
              </c:pt>
              <c:pt idx="10">
                <c:v>83.823702257705563</c:v>
              </c:pt>
            </c:numLit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hysteresis_area!#REF!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38F5-4CDD-AD08-33398D9E3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583471"/>
        <c:axId val="507580591"/>
      </c:barChart>
      <c:catAx>
        <c:axId val="50758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580591"/>
        <c:crosses val="autoZero"/>
        <c:auto val="1"/>
        <c:lblAlgn val="ctr"/>
        <c:lblOffset val="100"/>
        <c:noMultiLvlLbl val="0"/>
      </c:catAx>
      <c:valAx>
        <c:axId val="50758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58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McGill_Surrogate1_min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-10.67076551312849</c:v>
              </c:pt>
              <c:pt idx="1">
                <c:v>-10.62795875731307</c:v>
              </c:pt>
              <c:pt idx="2">
                <c:v>-10.671288258405511</c:v>
              </c:pt>
              <c:pt idx="3">
                <c:v>-10.671286786758319</c:v>
              </c:pt>
              <c:pt idx="4">
                <c:v>-10.669883903644619</c:v>
              </c:pt>
              <c:pt idx="5">
                <c:v>-10.669198420074929</c:v>
              </c:pt>
              <c:pt idx="6">
                <c:v>-10.67162837005883</c:v>
              </c:pt>
              <c:pt idx="7">
                <c:v>-10.67194038677512</c:v>
              </c:pt>
              <c:pt idx="8">
                <c:v>-10.67132282376628</c:v>
              </c:pt>
              <c:pt idx="9">
                <c:v>-10.67160767342844</c:v>
              </c:pt>
              <c:pt idx="10">
                <c:v>-10.671392560848661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B4AF-4B71-A009-98B65070C05E}"/>
            </c:ext>
          </c:extLst>
        </c:ser>
        <c:ser>
          <c:idx val="1"/>
          <c:order val="1"/>
          <c:tx>
            <c:v>McGill_Surrogate1_max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11.671223433092321</c:v>
              </c:pt>
              <c:pt idx="1">
                <c:v>11.672073166680571</c:v>
              </c:pt>
              <c:pt idx="2">
                <c:v>11.66973037874085</c:v>
              </c:pt>
              <c:pt idx="3">
                <c:v>11.669200887196</c:v>
              </c:pt>
              <c:pt idx="4">
                <c:v>11.670472713237279</c:v>
              </c:pt>
              <c:pt idx="5">
                <c:v>11.64609043859755</c:v>
              </c:pt>
              <c:pt idx="6">
                <c:v>11.67194480050563</c:v>
              </c:pt>
              <c:pt idx="7">
                <c:v>11.67136292156329</c:v>
              </c:pt>
              <c:pt idx="8">
                <c:v>11.669882438545599</c:v>
              </c:pt>
              <c:pt idx="9">
                <c:v>11.6688385730222</c:v>
              </c:pt>
              <c:pt idx="10">
                <c:v>11.665889083506659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4AF-4B71-A009-98B65070C05E}"/>
            </c:ext>
          </c:extLst>
        </c:ser>
        <c:ser>
          <c:idx val="2"/>
          <c:order val="2"/>
          <c:tx>
            <c:v>Sawbones_min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-5.6714834421741296</c:v>
              </c:pt>
              <c:pt idx="1">
                <c:v>-5.6712341999911668</c:v>
              </c:pt>
              <c:pt idx="2">
                <c:v>-5.6732835475436341</c:v>
              </c:pt>
              <c:pt idx="3">
                <c:v>-5.6685870650163519</c:v>
              </c:pt>
              <c:pt idx="4">
                <c:v>-5.6705926866915028</c:v>
              </c:pt>
              <c:pt idx="5">
                <c:v>-5.6694751899236513</c:v>
              </c:pt>
              <c:pt idx="6">
                <c:v>-5.6563093806965101</c:v>
              </c:pt>
              <c:pt idx="7">
                <c:v>-5.6670293873539226</c:v>
              </c:pt>
              <c:pt idx="8">
                <c:v>-5.670049255130154</c:v>
              </c:pt>
              <c:pt idx="9">
                <c:v>-5.6697368847036476</c:v>
              </c:pt>
              <c:pt idx="10">
                <c:v>-5.6681908194879984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4AF-4B71-A009-98B65070C05E}"/>
            </c:ext>
          </c:extLst>
        </c:ser>
        <c:ser>
          <c:idx val="3"/>
          <c:order val="3"/>
          <c:tx>
            <c:v>Sawbones_max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6.6337860878566062</c:v>
              </c:pt>
              <c:pt idx="1">
                <c:v>6.6697161873964648</c:v>
              </c:pt>
              <c:pt idx="2">
                <c:v>6.6252627506642803</c:v>
              </c:pt>
              <c:pt idx="3">
                <c:v>5.1380843480161689</c:v>
              </c:pt>
              <c:pt idx="4">
                <c:v>6.2447616407830502</c:v>
              </c:pt>
              <c:pt idx="5">
                <c:v>6.6638642677413689</c:v>
              </c:pt>
              <c:pt idx="6">
                <c:v>3.9519580454448682</c:v>
              </c:pt>
              <c:pt idx="7">
                <c:v>5.3977497723871517</c:v>
              </c:pt>
              <c:pt idx="8">
                <c:v>6.6303357506268279</c:v>
              </c:pt>
              <c:pt idx="9">
                <c:v>6.6656096086617582</c:v>
              </c:pt>
              <c:pt idx="10">
                <c:v>6.3511075993407742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B4AF-4B71-A009-98B65070C05E}"/>
            </c:ext>
          </c:extLst>
        </c:ser>
        <c:ser>
          <c:idx val="4"/>
          <c:order val="4"/>
          <c:tx>
            <c:v>McGill_Surrogate2_min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-11.667880119777969</c:v>
              </c:pt>
              <c:pt idx="1">
                <c:v>-11.67133874508311</c:v>
              </c:pt>
              <c:pt idx="2">
                <c:v>-11.670367687103941</c:v>
              </c:pt>
              <c:pt idx="3">
                <c:v>-11.663984121313661</c:v>
              </c:pt>
              <c:pt idx="4">
                <c:v>-11.671684137950219</c:v>
              </c:pt>
              <c:pt idx="5">
                <c:v>-11.669871926543101</c:v>
              </c:pt>
              <c:pt idx="6">
                <c:v>-11.66958491741295</c:v>
              </c:pt>
              <c:pt idx="7">
                <c:v>-11.668955426102521</c:v>
              </c:pt>
              <c:pt idx="8">
                <c:v>-11.67181079583044</c:v>
              </c:pt>
              <c:pt idx="9">
                <c:v>-11.668372837701749</c:v>
              </c:pt>
              <c:pt idx="10">
                <c:v>-11.66927599670465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3AA0-4428-885D-03CFA07A2659}"/>
            </c:ext>
          </c:extLst>
        </c:ser>
        <c:ser>
          <c:idx val="5"/>
          <c:order val="5"/>
          <c:tx>
            <c:v>McGill_Surrogate2_max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11.669352177512559</c:v>
              </c:pt>
              <c:pt idx="1">
                <c:v>11.661820662629641</c:v>
              </c:pt>
              <c:pt idx="2">
                <c:v>11.666438959797031</c:v>
              </c:pt>
              <c:pt idx="3">
                <c:v>11.628620402736059</c:v>
              </c:pt>
              <c:pt idx="4">
                <c:v>11.671457935638459</c:v>
              </c:pt>
              <c:pt idx="5">
                <c:v>11.66638616444483</c:v>
              </c:pt>
              <c:pt idx="6">
                <c:v>11.67080607548162</c:v>
              </c:pt>
              <c:pt idx="7">
                <c:v>11.67032858591153</c:v>
              </c:pt>
              <c:pt idx="8">
                <c:v>11.667189644800111</c:v>
              </c:pt>
              <c:pt idx="9">
                <c:v>11.67136747564706</c:v>
              </c:pt>
              <c:pt idx="10">
                <c:v>11.668328847774889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3AA0-4428-885D-03CFA07A2659}"/>
            </c:ext>
          </c:extLst>
        </c:ser>
        <c:ser>
          <c:idx val="6"/>
          <c:order val="6"/>
          <c:tx>
            <c:v>McGill_Surrogate3_min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-8.6712140400676336</c:v>
              </c:pt>
              <c:pt idx="1">
                <c:v>-8.6706786299274743</c:v>
              </c:pt>
              <c:pt idx="2">
                <c:v>-8.6708118183514422</c:v>
              </c:pt>
              <c:pt idx="3">
                <c:v>-8.670699829944871</c:v>
              </c:pt>
              <c:pt idx="4">
                <c:v>-8.6681756019989358</c:v>
              </c:pt>
              <c:pt idx="5">
                <c:v>-8.6697479952866985</c:v>
              </c:pt>
              <c:pt idx="6">
                <c:v>-8.6719023892996585</c:v>
              </c:pt>
              <c:pt idx="7">
                <c:v>-8.6712479421715347</c:v>
              </c:pt>
              <c:pt idx="8">
                <c:v>-8.6696174723093673</c:v>
              </c:pt>
              <c:pt idx="9">
                <c:v>-8.6697860940616085</c:v>
              </c:pt>
              <c:pt idx="10">
                <c:v>-8.6694196637202179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3AA0-4428-885D-03CFA07A2659}"/>
            </c:ext>
          </c:extLst>
        </c:ser>
        <c:ser>
          <c:idx val="7"/>
          <c:order val="7"/>
          <c:tx>
            <c:v>McGill_Surrogate3_max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11.67029260348535</c:v>
              </c:pt>
              <c:pt idx="1">
                <c:v>11.67060193453344</c:v>
              </c:pt>
              <c:pt idx="2">
                <c:v>11.659667421149891</c:v>
              </c:pt>
              <c:pt idx="3">
                <c:v>11.66930233740711</c:v>
              </c:pt>
              <c:pt idx="4">
                <c:v>11.67030410975026</c:v>
              </c:pt>
              <c:pt idx="5">
                <c:v>11.537468273482361</c:v>
              </c:pt>
              <c:pt idx="6">
                <c:v>11.671472313090501</c:v>
              </c:pt>
              <c:pt idx="7">
                <c:v>11.670318895162991</c:v>
              </c:pt>
              <c:pt idx="8">
                <c:v>11.49551339524686</c:v>
              </c:pt>
              <c:pt idx="9">
                <c:v>11.577604520318021</c:v>
              </c:pt>
              <c:pt idx="10">
                <c:v>11.65098679642883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3AA0-4428-885D-03CFA07A2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609023"/>
        <c:axId val="566607103"/>
      </c:scatterChart>
      <c:valAx>
        <c:axId val="56660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607103"/>
        <c:crosses val="autoZero"/>
        <c:crossBetween val="midCat"/>
      </c:valAx>
      <c:valAx>
        <c:axId val="56660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609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McGill_Surrogate1_min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9.278926707677698</c:v>
              </c:pt>
              <c:pt idx="1">
                <c:v>8.9424260620524585</c:v>
              </c:pt>
              <c:pt idx="2">
                <c:v>8.8528625426484453</c:v>
              </c:pt>
              <c:pt idx="3">
                <c:v>8.8009333547923987</c:v>
              </c:pt>
              <c:pt idx="4">
                <c:v>8.8008656787591146</c:v>
              </c:pt>
              <c:pt idx="5">
                <c:v>8.8015145986560182</c:v>
              </c:pt>
              <c:pt idx="6">
                <c:v>8.8000592149100356</c:v>
              </c:pt>
              <c:pt idx="7">
                <c:v>8.7923071352443642</c:v>
              </c:pt>
              <c:pt idx="8">
                <c:v>8.8053130912811355</c:v>
              </c:pt>
              <c:pt idx="9">
                <c:v>8.8087297903486341</c:v>
              </c:pt>
              <c:pt idx="10">
                <c:v>8.8003891368569018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86AF-41D8-AB91-786D0ACE81E5}"/>
            </c:ext>
          </c:extLst>
        </c:ser>
        <c:ser>
          <c:idx val="1"/>
          <c:order val="1"/>
          <c:tx>
            <c:v>McGill_Surrogate1_max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-9.2077047608431144</c:v>
              </c:pt>
              <c:pt idx="1">
                <c:v>-9.2836794112707803</c:v>
              </c:pt>
              <c:pt idx="2">
                <c:v>-9.3336191689948258</c:v>
              </c:pt>
              <c:pt idx="3">
                <c:v>-9.3894911497275366</c:v>
              </c:pt>
              <c:pt idx="4">
                <c:v>-9.44600489380319</c:v>
              </c:pt>
              <c:pt idx="5">
                <c:v>-9.4254152143889769</c:v>
              </c:pt>
              <c:pt idx="6">
                <c:v>-9.4919853844123594</c:v>
              </c:pt>
              <c:pt idx="7">
                <c:v>-9.4920754302549977</c:v>
              </c:pt>
              <c:pt idx="8">
                <c:v>-9.5413916642385939</c:v>
              </c:pt>
              <c:pt idx="9">
                <c:v>-9.5670857350788729</c:v>
              </c:pt>
              <c:pt idx="10">
                <c:v>-9.5813293951687495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86AF-41D8-AB91-786D0ACE81E5}"/>
            </c:ext>
          </c:extLst>
        </c:ser>
        <c:ser>
          <c:idx val="2"/>
          <c:order val="2"/>
          <c:tx>
            <c:v>Sawbones_min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7.4032985260524864</c:v>
              </c:pt>
              <c:pt idx="1">
                <c:v>7.1727067120661907</c:v>
              </c:pt>
              <c:pt idx="2">
                <c:v>7.2183042929673054</c:v>
              </c:pt>
              <c:pt idx="3">
                <c:v>7.0405996953360832</c:v>
              </c:pt>
              <c:pt idx="4">
                <c:v>7.5291889851870968</c:v>
              </c:pt>
              <c:pt idx="5">
                <c:v>7.7262642089792442</c:v>
              </c:pt>
              <c:pt idx="6">
                <c:v>7.9688032132350921</c:v>
              </c:pt>
              <c:pt idx="7">
                <c:v>8.18782283718404</c:v>
              </c:pt>
              <c:pt idx="8">
                <c:v>8.6365988813645114</c:v>
              </c:pt>
              <c:pt idx="9">
                <c:v>8.8536797418140942</c:v>
              </c:pt>
              <c:pt idx="10">
                <c:v>9.0972129367834746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86AF-41D8-AB91-786D0ACE81E5}"/>
            </c:ext>
          </c:extLst>
        </c:ser>
        <c:ser>
          <c:idx val="3"/>
          <c:order val="3"/>
          <c:tx>
            <c:v>Sawbones_max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-6.2541479144881684</c:v>
              </c:pt>
              <c:pt idx="1">
                <c:v>-6.0700640366998249</c:v>
              </c:pt>
              <c:pt idx="2">
                <c:v>-5.9576195459737793</c:v>
              </c:pt>
              <c:pt idx="3">
                <c:v>-4.275167035697133</c:v>
              </c:pt>
              <c:pt idx="4">
                <c:v>-4.6330133739806163</c:v>
              </c:pt>
              <c:pt idx="5">
                <c:v>-6.168743530096636</c:v>
              </c:pt>
              <c:pt idx="6">
                <c:v>-3.0404793027177441</c:v>
              </c:pt>
              <c:pt idx="7">
                <c:v>-4.9754360687471211</c:v>
              </c:pt>
              <c:pt idx="8">
                <c:v>-6.3627622646259283</c:v>
              </c:pt>
              <c:pt idx="9">
                <c:v>-6.7546127073487741</c:v>
              </c:pt>
              <c:pt idx="10">
                <c:v>-5.8337276246461292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86AF-41D8-AB91-786D0ACE81E5}"/>
            </c:ext>
          </c:extLst>
        </c:ser>
        <c:ser>
          <c:idx val="4"/>
          <c:order val="4"/>
          <c:tx>
            <c:v>McGill_Surrogate2_min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9.0489281219896878</c:v>
              </c:pt>
              <c:pt idx="1">
                <c:v>8.7314423450316756</c:v>
              </c:pt>
              <c:pt idx="2">
                <c:v>8.740168955962405</c:v>
              </c:pt>
              <c:pt idx="3">
                <c:v>8.6916728722315479</c:v>
              </c:pt>
              <c:pt idx="4">
                <c:v>8.6863797401469469</c:v>
              </c:pt>
              <c:pt idx="5">
                <c:v>8.6785056613325757</c:v>
              </c:pt>
              <c:pt idx="6">
                <c:v>8.7013135442008291</c:v>
              </c:pt>
              <c:pt idx="7">
                <c:v>8.6985356011102581</c:v>
              </c:pt>
              <c:pt idx="8">
                <c:v>8.6826593613889038</c:v>
              </c:pt>
              <c:pt idx="9">
                <c:v>8.7046567098381491</c:v>
              </c:pt>
              <c:pt idx="10">
                <c:v>8.7054562359955856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9A33-4F85-890F-9C9DF2EF4483}"/>
            </c:ext>
          </c:extLst>
        </c:ser>
        <c:ser>
          <c:idx val="5"/>
          <c:order val="5"/>
          <c:tx>
            <c:v>McGill_Surrogate2_max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-9.0730904760346007</c:v>
              </c:pt>
              <c:pt idx="1">
                <c:v>-9.0397308273086932</c:v>
              </c:pt>
              <c:pt idx="2">
                <c:v>-9.0787395778583662</c:v>
              </c:pt>
              <c:pt idx="3">
                <c:v>-9.1085875606897968</c:v>
              </c:pt>
              <c:pt idx="4">
                <c:v>-9.1392341377296233</c:v>
              </c:pt>
              <c:pt idx="5">
                <c:v>-9.179729645061558</c:v>
              </c:pt>
              <c:pt idx="6">
                <c:v>-9.2076775451173081</c:v>
              </c:pt>
              <c:pt idx="7">
                <c:v>-9.250645686646477</c:v>
              </c:pt>
              <c:pt idx="8">
                <c:v>-9.2716810290589571</c:v>
              </c:pt>
              <c:pt idx="9">
                <c:v>-9.2986644297196968</c:v>
              </c:pt>
              <c:pt idx="10">
                <c:v>-9.3195955192320117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9A33-4F85-890F-9C9DF2EF4483}"/>
            </c:ext>
          </c:extLst>
        </c:ser>
        <c:ser>
          <c:idx val="6"/>
          <c:order val="6"/>
          <c:tx>
            <c:v>McGill_Surrogate3_min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7.704851112460517</c:v>
              </c:pt>
              <c:pt idx="1">
                <c:v>7.6057030127617331</c:v>
              </c:pt>
              <c:pt idx="2">
                <c:v>7.5702017283779739</c:v>
              </c:pt>
              <c:pt idx="3">
                <c:v>7.5207048908703502</c:v>
              </c:pt>
              <c:pt idx="4">
                <c:v>7.5416521552905866</c:v>
              </c:pt>
              <c:pt idx="5">
                <c:v>7.5829360864565176</c:v>
              </c:pt>
              <c:pt idx="6">
                <c:v>7.5447986163015939</c:v>
              </c:pt>
              <c:pt idx="7">
                <c:v>7.5479487095177413</c:v>
              </c:pt>
              <c:pt idx="8">
                <c:v>7.517514936509766</c:v>
              </c:pt>
              <c:pt idx="9">
                <c:v>7.5543836656808701</c:v>
              </c:pt>
              <c:pt idx="10">
                <c:v>7.2164932597723253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9A33-4F85-890F-9C9DF2EF4483}"/>
            </c:ext>
          </c:extLst>
        </c:ser>
        <c:ser>
          <c:idx val="7"/>
          <c:order val="7"/>
          <c:tx>
            <c:v>McGill_Surrogate3_max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-10.159368254654771</c:v>
              </c:pt>
              <c:pt idx="1">
                <c:v>-10.0151605973256</c:v>
              </c:pt>
              <c:pt idx="2">
                <c:v>-10.072235643440489</c:v>
              </c:pt>
              <c:pt idx="3">
                <c:v>-10.100873899494569</c:v>
              </c:pt>
              <c:pt idx="4">
                <c:v>-10.1392262745339</c:v>
              </c:pt>
              <c:pt idx="5">
                <c:v>-10.153830379637929</c:v>
              </c:pt>
              <c:pt idx="6">
                <c:v>-10.20963190643984</c:v>
              </c:pt>
              <c:pt idx="7">
                <c:v>-10.22334710673934</c:v>
              </c:pt>
              <c:pt idx="8">
                <c:v>-10.236559028409429</c:v>
              </c:pt>
              <c:pt idx="9">
                <c:v>-10.255202037869079</c:v>
              </c:pt>
              <c:pt idx="10">
                <c:v>-10.283282636089769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9A33-4F85-890F-9C9DF2EF4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289087"/>
        <c:axId val="567288127"/>
      </c:scatterChart>
      <c:valAx>
        <c:axId val="56728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88127"/>
        <c:crosses val="autoZero"/>
        <c:crossBetween val="midCat"/>
      </c:valAx>
      <c:valAx>
        <c:axId val="56728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89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219074</xdr:colOff>
      <xdr:row>2</xdr:row>
      <xdr:rowOff>85725</xdr:rowOff>
    </xdr:from>
    <xdr:to>
      <xdr:col>16</xdr:col>
      <xdr:colOff>76199</xdr:colOff>
      <xdr:row>16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864351-53C8-B8D4-ECEE-022F8A198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164782</xdr:rowOff>
    </xdr:from>
    <xdr:to>
      <xdr:col>9</xdr:col>
      <xdr:colOff>579120</xdr:colOff>
      <xdr:row>27</xdr:row>
      <xdr:rowOff>58102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6EA7B6-331D-70A7-6215-125E0FDAC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758190</xdr:colOff>
      <xdr:row>18</xdr:row>
      <xdr:rowOff>52387</xdr:rowOff>
    </xdr:from>
    <xdr:to>
      <xdr:col>10</xdr:col>
      <xdr:colOff>87630</xdr:colOff>
      <xdr:row>32</xdr:row>
      <xdr:rowOff>120967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7A85F9-03E8-71ED-7F9D-1D1D37B13F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6E33D-D1D2-433A-B453-D9263DB0F60D}">
  <dimension ref="A1:E12"/>
  <sheetViews>
    <sheetView workbookViewId="0">
      <selection activeCell="G24" sqref="G24"/>
    </sheetView>
  </sheetViews>
  <sheetFormatPr defaultRowHeight="14.4" x14ac:dyDescent="0.3"/>
  <cols>
    <col min="1" max="1" width="7.6640625" bestFit="1" customWidth="1"/>
    <col min="2" max="3" width="12.88671875" bestFit="1" customWidth="1"/>
    <col min="4" max="4" width="12" bestFit="1" customWidth="1"/>
  </cols>
  <sheetData>
    <row r="1" spans="1:5" x14ac:dyDescent="0.3">
      <c r="A1" s="1" t="s">
        <v>4</v>
      </c>
      <c r="B1" s="1" t="s">
        <v>1</v>
      </c>
      <c r="C1" s="1" t="s">
        <v>2</v>
      </c>
      <c r="D1" s="1" t="s">
        <v>3</v>
      </c>
      <c r="E1" s="1" t="s">
        <v>0</v>
      </c>
    </row>
    <row r="2" spans="1:5" x14ac:dyDescent="0.3">
      <c r="A2">
        <v>-50</v>
      </c>
      <c r="B2">
        <v>99.598922684399042</v>
      </c>
      <c r="C2">
        <v>96.503417325706181</v>
      </c>
      <c r="D2">
        <v>80.905456945135498</v>
      </c>
      <c r="E2">
        <v>8.0773654576855733</v>
      </c>
    </row>
    <row r="3" spans="1:5" x14ac:dyDescent="0.3">
      <c r="A3">
        <v>-25</v>
      </c>
      <c r="B3">
        <v>96.024580146418373</v>
      </c>
      <c r="C3">
        <v>92.594236918423078</v>
      </c>
      <c r="D3">
        <v>77.618570860175367</v>
      </c>
      <c r="E3">
        <v>13.83135931574121</v>
      </c>
    </row>
    <row r="4" spans="1:5" x14ac:dyDescent="0.3">
      <c r="A4">
        <v>0</v>
      </c>
      <c r="B4">
        <v>97.425380592005951</v>
      </c>
      <c r="C4">
        <v>92.081671120405389</v>
      </c>
      <c r="D4">
        <v>77.866358817361331</v>
      </c>
      <c r="E4">
        <v>9.1440614754898526</v>
      </c>
    </row>
    <row r="5" spans="1:5" x14ac:dyDescent="0.3">
      <c r="A5">
        <v>25</v>
      </c>
      <c r="B5">
        <v>96.898916269550114</v>
      </c>
      <c r="C5">
        <v>93.357304007989683</v>
      </c>
      <c r="D5">
        <v>78.7272616731059</v>
      </c>
      <c r="E5">
        <v>12.316575320498931</v>
      </c>
    </row>
    <row r="6" spans="1:5" x14ac:dyDescent="0.3">
      <c r="A6">
        <v>50</v>
      </c>
      <c r="B6">
        <v>97.829599641850322</v>
      </c>
      <c r="C6">
        <v>94.258814776115287</v>
      </c>
      <c r="D6">
        <v>79.831727314772166</v>
      </c>
      <c r="E6">
        <v>14.48479705829596</v>
      </c>
    </row>
    <row r="7" spans="1:5" x14ac:dyDescent="0.3">
      <c r="A7">
        <v>75</v>
      </c>
      <c r="B7">
        <v>98.258508455515965</v>
      </c>
      <c r="C7">
        <v>95.362174371732465</v>
      </c>
      <c r="D7">
        <v>78.666232055804784</v>
      </c>
      <c r="E7">
        <v>8.897426076814611</v>
      </c>
    </row>
    <row r="8" spans="1:5" x14ac:dyDescent="0.3">
      <c r="A8">
        <v>100</v>
      </c>
      <c r="B8">
        <v>98.242878570687765</v>
      </c>
      <c r="C8">
        <v>95.986976006102452</v>
      </c>
      <c r="D8">
        <v>82.037624994226377</v>
      </c>
      <c r="E8">
        <v>12.38800169812531</v>
      </c>
    </row>
    <row r="9" spans="1:5" x14ac:dyDescent="0.3">
      <c r="A9">
        <v>125</v>
      </c>
      <c r="B9">
        <v>98.534426442470831</v>
      </c>
      <c r="C9">
        <v>96.958098680569378</v>
      </c>
      <c r="D9">
        <v>82.758528137293212</v>
      </c>
      <c r="E9">
        <v>12.68816918166304</v>
      </c>
    </row>
    <row r="10" spans="1:5" x14ac:dyDescent="0.3">
      <c r="A10">
        <v>150</v>
      </c>
      <c r="B10">
        <v>98.389762864840918</v>
      </c>
      <c r="C10">
        <v>97.569161446416601</v>
      </c>
      <c r="D10">
        <v>82.737201050664396</v>
      </c>
      <c r="E10">
        <v>11.341755734434249</v>
      </c>
    </row>
    <row r="11" spans="1:5" x14ac:dyDescent="0.3">
      <c r="A11">
        <v>175</v>
      </c>
      <c r="B11">
        <v>98.153530910309442</v>
      </c>
      <c r="C11">
        <v>98.039931812076617</v>
      </c>
      <c r="D11">
        <v>84.11653135677463</v>
      </c>
      <c r="E11">
        <v>14.86584038349419</v>
      </c>
    </row>
    <row r="12" spans="1:5" x14ac:dyDescent="0.3">
      <c r="A12">
        <v>200</v>
      </c>
      <c r="B12">
        <v>98.862766312340298</v>
      </c>
      <c r="C12">
        <v>98.476875562346237</v>
      </c>
      <c r="D12">
        <v>83.823702257705563</v>
      </c>
      <c r="E12">
        <v>16.365273286869179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2B4F6-478D-478D-8FF6-A484F57F534B}">
  <dimension ref="A1:U19"/>
  <sheetViews>
    <sheetView tabSelected="1" topLeftCell="E1" zoomScale="70" zoomScaleNormal="70" workbookViewId="0">
      <selection activeCell="N2" sqref="N2:O12"/>
    </sheetView>
  </sheetViews>
  <sheetFormatPr defaultRowHeight="14.4" x14ac:dyDescent="0.3"/>
  <cols>
    <col min="2" max="2" width="25.88671875" customWidth="1"/>
    <col min="3" max="4" width="19.21875" customWidth="1"/>
    <col min="5" max="5" width="13.5546875" customWidth="1"/>
    <col min="12" max="12" width="11.77734375" customWidth="1"/>
    <col min="14" max="14" width="23.77734375" bestFit="1" customWidth="1"/>
    <col min="15" max="15" width="25" bestFit="1" customWidth="1"/>
    <col min="16" max="16" width="23.77734375" bestFit="1" customWidth="1"/>
    <col min="17" max="17" width="25" bestFit="1" customWidth="1"/>
    <col min="18" max="18" width="23.77734375" bestFit="1" customWidth="1"/>
    <col min="19" max="19" width="25" bestFit="1" customWidth="1"/>
    <col min="20" max="20" width="21.44140625" bestFit="1" customWidth="1"/>
    <col min="21" max="21" width="22.77734375" bestFit="1" customWidth="1"/>
  </cols>
  <sheetData>
    <row r="1" spans="1:21" x14ac:dyDescent="0.3">
      <c r="A1" s="1" t="s">
        <v>4</v>
      </c>
      <c r="B1" s="1" t="s">
        <v>5</v>
      </c>
      <c r="C1" s="1" t="s">
        <v>6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7</v>
      </c>
      <c r="I1" s="1" t="s">
        <v>8</v>
      </c>
      <c r="K1" s="6" t="s">
        <v>19</v>
      </c>
      <c r="L1" s="6"/>
      <c r="M1" t="s">
        <v>20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s="7" t="s">
        <v>21</v>
      </c>
      <c r="U1" s="7" t="s">
        <v>22</v>
      </c>
    </row>
    <row r="2" spans="1:21" x14ac:dyDescent="0.3">
      <c r="A2">
        <v>-50</v>
      </c>
      <c r="B2">
        <v>-10.67076551312849</v>
      </c>
      <c r="C2">
        <v>11.671223433092321</v>
      </c>
      <c r="D2">
        <v>-11.667880119777969</v>
      </c>
      <c r="E2">
        <v>11.669352177512559</v>
      </c>
      <c r="F2">
        <v>-8.6712140400676336</v>
      </c>
      <c r="G2">
        <v>11.67029260348535</v>
      </c>
      <c r="H2">
        <v>-5.6714834421741296</v>
      </c>
      <c r="I2">
        <v>6.6337860878566062</v>
      </c>
      <c r="K2" s="6"/>
      <c r="L2" s="6"/>
      <c r="M2">
        <v>-50</v>
      </c>
      <c r="N2">
        <f>ABS(B2)</f>
        <v>10.67076551312849</v>
      </c>
      <c r="O2">
        <f t="shared" ref="O2:U2" si="0">ABS(C2)</f>
        <v>11.671223433092321</v>
      </c>
      <c r="P2">
        <f t="shared" si="0"/>
        <v>11.667880119777969</v>
      </c>
      <c r="Q2">
        <f t="shared" si="0"/>
        <v>11.669352177512559</v>
      </c>
      <c r="R2">
        <f t="shared" si="0"/>
        <v>8.6712140400676336</v>
      </c>
      <c r="S2">
        <f t="shared" si="0"/>
        <v>11.67029260348535</v>
      </c>
      <c r="T2">
        <f t="shared" si="0"/>
        <v>5.6714834421741296</v>
      </c>
      <c r="U2">
        <f t="shared" si="0"/>
        <v>6.6337860878566062</v>
      </c>
    </row>
    <row r="3" spans="1:21" x14ac:dyDescent="0.3">
      <c r="A3">
        <v>-25</v>
      </c>
      <c r="B3">
        <v>-10.62795875731307</v>
      </c>
      <c r="C3">
        <v>11.672073166680571</v>
      </c>
      <c r="D3">
        <v>-11.67133874508311</v>
      </c>
      <c r="E3">
        <v>11.661820662629641</v>
      </c>
      <c r="F3">
        <v>-8.6706786299274743</v>
      </c>
      <c r="G3">
        <v>11.67060193453344</v>
      </c>
      <c r="H3">
        <v>-5.6712341999911668</v>
      </c>
      <c r="I3">
        <v>6.6697161873964648</v>
      </c>
      <c r="K3" s="6"/>
      <c r="L3" s="6"/>
      <c r="M3">
        <v>-25</v>
      </c>
      <c r="N3">
        <f t="shared" ref="N3:N12" si="1">ABS(B3)</f>
        <v>10.62795875731307</v>
      </c>
      <c r="O3">
        <f t="shared" ref="O3:O12" si="2">ABS(C3)</f>
        <v>11.672073166680571</v>
      </c>
      <c r="P3">
        <f t="shared" ref="P3:P12" si="3">ABS(D3)</f>
        <v>11.67133874508311</v>
      </c>
      <c r="Q3">
        <f t="shared" ref="Q3:Q12" si="4">ABS(E3)</f>
        <v>11.661820662629641</v>
      </c>
      <c r="R3">
        <f t="shared" ref="R3:R12" si="5">ABS(F3)</f>
        <v>8.6706786299274743</v>
      </c>
      <c r="S3">
        <f t="shared" ref="S3:S12" si="6">ABS(G3)</f>
        <v>11.67060193453344</v>
      </c>
      <c r="T3">
        <f t="shared" ref="T3:T12" si="7">ABS(H3)</f>
        <v>5.6712341999911668</v>
      </c>
      <c r="U3">
        <f t="shared" ref="U3:U12" si="8">ABS(I3)</f>
        <v>6.6697161873964648</v>
      </c>
    </row>
    <row r="4" spans="1:21" x14ac:dyDescent="0.3">
      <c r="A4">
        <v>0</v>
      </c>
      <c r="B4">
        <v>-10.671288258405511</v>
      </c>
      <c r="C4">
        <v>11.66973037874085</v>
      </c>
      <c r="D4">
        <v>-11.670367687103941</v>
      </c>
      <c r="E4">
        <v>11.666438959797031</v>
      </c>
      <c r="F4">
        <v>-8.6708118183514422</v>
      </c>
      <c r="G4">
        <v>11.659667421149891</v>
      </c>
      <c r="H4">
        <v>-5.6732835475436341</v>
      </c>
      <c r="I4">
        <v>6.6252627506642803</v>
      </c>
      <c r="K4" s="6"/>
      <c r="L4" s="6"/>
      <c r="M4">
        <v>0</v>
      </c>
      <c r="N4">
        <f t="shared" si="1"/>
        <v>10.671288258405511</v>
      </c>
      <c r="O4">
        <f t="shared" si="2"/>
        <v>11.66973037874085</v>
      </c>
      <c r="P4">
        <f t="shared" si="3"/>
        <v>11.670367687103941</v>
      </c>
      <c r="Q4">
        <f t="shared" si="4"/>
        <v>11.666438959797031</v>
      </c>
      <c r="R4">
        <f t="shared" si="5"/>
        <v>8.6708118183514422</v>
      </c>
      <c r="S4">
        <f t="shared" si="6"/>
        <v>11.659667421149891</v>
      </c>
      <c r="T4">
        <f t="shared" si="7"/>
        <v>5.6732835475436341</v>
      </c>
      <c r="U4">
        <f t="shared" si="8"/>
        <v>6.6252627506642803</v>
      </c>
    </row>
    <row r="5" spans="1:21" x14ac:dyDescent="0.3">
      <c r="A5">
        <v>25</v>
      </c>
      <c r="B5">
        <v>-10.671286786758319</v>
      </c>
      <c r="C5">
        <v>11.669200887196</v>
      </c>
      <c r="D5">
        <v>-11.663984121313661</v>
      </c>
      <c r="E5">
        <v>11.628620402736059</v>
      </c>
      <c r="F5">
        <v>-8.670699829944871</v>
      </c>
      <c r="G5">
        <v>11.66930233740711</v>
      </c>
      <c r="H5">
        <v>-5.6685870650163519</v>
      </c>
      <c r="I5">
        <v>5.1380843480161689</v>
      </c>
      <c r="K5" s="6"/>
      <c r="L5" s="6"/>
      <c r="M5">
        <v>25</v>
      </c>
      <c r="N5">
        <f t="shared" si="1"/>
        <v>10.671286786758319</v>
      </c>
      <c r="O5">
        <f t="shared" si="2"/>
        <v>11.669200887196</v>
      </c>
      <c r="P5">
        <f t="shared" si="3"/>
        <v>11.663984121313661</v>
      </c>
      <c r="Q5">
        <f t="shared" si="4"/>
        <v>11.628620402736059</v>
      </c>
      <c r="R5">
        <f t="shared" si="5"/>
        <v>8.670699829944871</v>
      </c>
      <c r="S5">
        <f t="shared" si="6"/>
        <v>11.66930233740711</v>
      </c>
      <c r="T5">
        <f t="shared" si="7"/>
        <v>5.6685870650163519</v>
      </c>
      <c r="U5">
        <f t="shared" si="8"/>
        <v>5.1380843480161689</v>
      </c>
    </row>
    <row r="6" spans="1:21" x14ac:dyDescent="0.3">
      <c r="A6">
        <v>50</v>
      </c>
      <c r="B6">
        <v>-10.669883903644619</v>
      </c>
      <c r="C6">
        <v>11.670472713237279</v>
      </c>
      <c r="D6">
        <v>-11.671684137950219</v>
      </c>
      <c r="E6">
        <v>11.671457935638459</v>
      </c>
      <c r="F6">
        <v>-8.6681756019989358</v>
      </c>
      <c r="G6">
        <v>11.67030410975026</v>
      </c>
      <c r="H6">
        <v>-5.6705926866915028</v>
      </c>
      <c r="I6">
        <v>6.2447616407830502</v>
      </c>
      <c r="K6" s="6"/>
      <c r="L6" s="6"/>
      <c r="M6">
        <v>50</v>
      </c>
      <c r="N6">
        <f t="shared" si="1"/>
        <v>10.669883903644619</v>
      </c>
      <c r="O6">
        <f t="shared" si="2"/>
        <v>11.670472713237279</v>
      </c>
      <c r="P6">
        <f t="shared" si="3"/>
        <v>11.671684137950219</v>
      </c>
      <c r="Q6">
        <f t="shared" si="4"/>
        <v>11.671457935638459</v>
      </c>
      <c r="R6">
        <f t="shared" si="5"/>
        <v>8.6681756019989358</v>
      </c>
      <c r="S6">
        <f t="shared" si="6"/>
        <v>11.67030410975026</v>
      </c>
      <c r="T6">
        <f t="shared" si="7"/>
        <v>5.6705926866915028</v>
      </c>
      <c r="U6">
        <f t="shared" si="8"/>
        <v>6.2447616407830502</v>
      </c>
    </row>
    <row r="7" spans="1:21" x14ac:dyDescent="0.3">
      <c r="A7">
        <v>75</v>
      </c>
      <c r="B7">
        <v>-10.669198420074929</v>
      </c>
      <c r="C7">
        <v>11.64609043859755</v>
      </c>
      <c r="D7">
        <v>-11.669871926543101</v>
      </c>
      <c r="E7">
        <v>11.66638616444483</v>
      </c>
      <c r="F7">
        <v>-8.6697479952866985</v>
      </c>
      <c r="G7">
        <v>11.537468273482361</v>
      </c>
      <c r="H7">
        <v>-5.6694751899236513</v>
      </c>
      <c r="I7">
        <v>6.6638642677413689</v>
      </c>
      <c r="K7" s="6"/>
      <c r="L7" s="6"/>
      <c r="M7">
        <v>75</v>
      </c>
      <c r="N7">
        <f t="shared" si="1"/>
        <v>10.669198420074929</v>
      </c>
      <c r="O7">
        <f t="shared" si="2"/>
        <v>11.64609043859755</v>
      </c>
      <c r="P7">
        <f t="shared" si="3"/>
        <v>11.669871926543101</v>
      </c>
      <c r="Q7">
        <f t="shared" si="4"/>
        <v>11.66638616444483</v>
      </c>
      <c r="R7">
        <f t="shared" si="5"/>
        <v>8.6697479952866985</v>
      </c>
      <c r="S7">
        <f t="shared" si="6"/>
        <v>11.537468273482361</v>
      </c>
      <c r="T7">
        <f t="shared" si="7"/>
        <v>5.6694751899236513</v>
      </c>
      <c r="U7">
        <f t="shared" si="8"/>
        <v>6.6638642677413689</v>
      </c>
    </row>
    <row r="8" spans="1:21" x14ac:dyDescent="0.3">
      <c r="A8">
        <v>100</v>
      </c>
      <c r="B8">
        <v>-10.67162837005883</v>
      </c>
      <c r="C8">
        <v>11.67194480050563</v>
      </c>
      <c r="D8">
        <v>-11.66958491741295</v>
      </c>
      <c r="E8">
        <v>11.67080607548162</v>
      </c>
      <c r="F8">
        <v>-8.6719023892996585</v>
      </c>
      <c r="G8">
        <v>11.671472313090501</v>
      </c>
      <c r="H8">
        <v>-5.6563093806965101</v>
      </c>
      <c r="I8">
        <v>3.9519580454448682</v>
      </c>
      <c r="K8" s="6"/>
      <c r="L8" s="6"/>
      <c r="M8">
        <v>100</v>
      </c>
      <c r="N8">
        <f t="shared" si="1"/>
        <v>10.67162837005883</v>
      </c>
      <c r="O8">
        <f t="shared" si="2"/>
        <v>11.67194480050563</v>
      </c>
      <c r="P8">
        <f t="shared" si="3"/>
        <v>11.66958491741295</v>
      </c>
      <c r="Q8">
        <f t="shared" si="4"/>
        <v>11.67080607548162</v>
      </c>
      <c r="R8">
        <f t="shared" si="5"/>
        <v>8.6719023892996585</v>
      </c>
      <c r="S8">
        <f t="shared" si="6"/>
        <v>11.671472313090501</v>
      </c>
      <c r="T8">
        <f t="shared" si="7"/>
        <v>5.6563093806965101</v>
      </c>
      <c r="U8">
        <f t="shared" si="8"/>
        <v>3.9519580454448682</v>
      </c>
    </row>
    <row r="9" spans="1:21" x14ac:dyDescent="0.3">
      <c r="A9">
        <v>125</v>
      </c>
      <c r="B9">
        <v>-10.67194038677512</v>
      </c>
      <c r="C9">
        <v>11.67136292156329</v>
      </c>
      <c r="D9">
        <v>-11.668955426102521</v>
      </c>
      <c r="E9">
        <v>11.67032858591153</v>
      </c>
      <c r="F9">
        <v>-8.6712479421715347</v>
      </c>
      <c r="G9">
        <v>11.670318895162991</v>
      </c>
      <c r="H9">
        <v>-5.6670293873539226</v>
      </c>
      <c r="I9">
        <v>5.3977497723871517</v>
      </c>
      <c r="K9" s="6"/>
      <c r="L9" s="6"/>
      <c r="M9">
        <v>125</v>
      </c>
      <c r="N9">
        <f t="shared" si="1"/>
        <v>10.67194038677512</v>
      </c>
      <c r="O9">
        <f t="shared" si="2"/>
        <v>11.67136292156329</v>
      </c>
      <c r="P9">
        <f t="shared" si="3"/>
        <v>11.668955426102521</v>
      </c>
      <c r="Q9">
        <f t="shared" si="4"/>
        <v>11.67032858591153</v>
      </c>
      <c r="R9">
        <f t="shared" si="5"/>
        <v>8.6712479421715347</v>
      </c>
      <c r="S9">
        <f t="shared" si="6"/>
        <v>11.670318895162991</v>
      </c>
      <c r="T9">
        <f t="shared" si="7"/>
        <v>5.6670293873539226</v>
      </c>
      <c r="U9">
        <f t="shared" si="8"/>
        <v>5.3977497723871517</v>
      </c>
    </row>
    <row r="10" spans="1:21" x14ac:dyDescent="0.3">
      <c r="A10">
        <v>150</v>
      </c>
      <c r="B10">
        <v>-10.67132282376628</v>
      </c>
      <c r="C10">
        <v>11.669882438545599</v>
      </c>
      <c r="D10">
        <v>-11.67181079583044</v>
      </c>
      <c r="E10">
        <v>11.667189644800111</v>
      </c>
      <c r="F10">
        <v>-8.6696174723093673</v>
      </c>
      <c r="G10">
        <v>11.49551339524686</v>
      </c>
      <c r="H10">
        <v>-5.670049255130154</v>
      </c>
      <c r="I10">
        <v>6.6303357506268279</v>
      </c>
      <c r="K10" s="6"/>
      <c r="L10" s="6"/>
      <c r="M10">
        <v>150</v>
      </c>
      <c r="N10">
        <f t="shared" si="1"/>
        <v>10.67132282376628</v>
      </c>
      <c r="O10">
        <f t="shared" si="2"/>
        <v>11.669882438545599</v>
      </c>
      <c r="P10">
        <f t="shared" si="3"/>
        <v>11.67181079583044</v>
      </c>
      <c r="Q10">
        <f t="shared" si="4"/>
        <v>11.667189644800111</v>
      </c>
      <c r="R10">
        <f t="shared" si="5"/>
        <v>8.6696174723093673</v>
      </c>
      <c r="S10">
        <f t="shared" si="6"/>
        <v>11.49551339524686</v>
      </c>
      <c r="T10">
        <f t="shared" si="7"/>
        <v>5.670049255130154</v>
      </c>
      <c r="U10">
        <f t="shared" si="8"/>
        <v>6.6303357506268279</v>
      </c>
    </row>
    <row r="11" spans="1:21" x14ac:dyDescent="0.3">
      <c r="A11">
        <v>175</v>
      </c>
      <c r="B11">
        <v>-10.67160767342844</v>
      </c>
      <c r="C11">
        <v>11.6688385730222</v>
      </c>
      <c r="D11">
        <v>-11.668372837701749</v>
      </c>
      <c r="E11">
        <v>11.67136747564706</v>
      </c>
      <c r="F11">
        <v>-8.6697860940616085</v>
      </c>
      <c r="G11">
        <v>11.577604520318021</v>
      </c>
      <c r="H11">
        <v>-5.6697368847036476</v>
      </c>
      <c r="I11">
        <v>6.6656096086617582</v>
      </c>
      <c r="K11" s="6"/>
      <c r="L11" s="6"/>
      <c r="M11">
        <v>175</v>
      </c>
      <c r="N11">
        <f t="shared" si="1"/>
        <v>10.67160767342844</v>
      </c>
      <c r="O11">
        <f t="shared" si="2"/>
        <v>11.6688385730222</v>
      </c>
      <c r="P11">
        <f t="shared" si="3"/>
        <v>11.668372837701749</v>
      </c>
      <c r="Q11">
        <f t="shared" si="4"/>
        <v>11.67136747564706</v>
      </c>
      <c r="R11">
        <f t="shared" si="5"/>
        <v>8.6697860940616085</v>
      </c>
      <c r="S11">
        <f t="shared" si="6"/>
        <v>11.577604520318021</v>
      </c>
      <c r="T11">
        <f t="shared" si="7"/>
        <v>5.6697368847036476</v>
      </c>
      <c r="U11">
        <f t="shared" si="8"/>
        <v>6.6656096086617582</v>
      </c>
    </row>
    <row r="12" spans="1:21" x14ac:dyDescent="0.3">
      <c r="A12">
        <v>200</v>
      </c>
      <c r="B12">
        <v>-10.671392560848661</v>
      </c>
      <c r="C12">
        <v>11.665889083506659</v>
      </c>
      <c r="D12">
        <v>-11.66927599670465</v>
      </c>
      <c r="E12">
        <v>11.668328847774889</v>
      </c>
      <c r="F12">
        <v>-8.6694196637202179</v>
      </c>
      <c r="G12">
        <v>11.65098679642883</v>
      </c>
      <c r="H12">
        <v>-5.6681908194879984</v>
      </c>
      <c r="I12">
        <v>6.3511075993407742</v>
      </c>
      <c r="K12" s="6"/>
      <c r="L12" s="6"/>
      <c r="M12">
        <v>200</v>
      </c>
      <c r="N12">
        <f t="shared" si="1"/>
        <v>10.671392560848661</v>
      </c>
      <c r="O12">
        <f t="shared" si="2"/>
        <v>11.665889083506659</v>
      </c>
      <c r="P12">
        <f t="shared" si="3"/>
        <v>11.66927599670465</v>
      </c>
      <c r="Q12">
        <f t="shared" si="4"/>
        <v>11.668328847774889</v>
      </c>
      <c r="R12">
        <f t="shared" si="5"/>
        <v>8.6694196637202179</v>
      </c>
      <c r="S12">
        <f t="shared" si="6"/>
        <v>11.65098679642883</v>
      </c>
      <c r="T12">
        <f t="shared" si="7"/>
        <v>5.6681908194879984</v>
      </c>
      <c r="U12">
        <f t="shared" si="8"/>
        <v>6.3511075993407742</v>
      </c>
    </row>
    <row r="16" spans="1:21" x14ac:dyDescent="0.3">
      <c r="A16" t="s">
        <v>13</v>
      </c>
    </row>
    <row r="18" spans="1:3" x14ac:dyDescent="0.3">
      <c r="A18" s="2" t="s">
        <v>14</v>
      </c>
      <c r="B18" s="3" t="s">
        <v>16</v>
      </c>
    </row>
    <row r="19" spans="1:3" x14ac:dyDescent="0.3">
      <c r="A19" s="4" t="s">
        <v>15</v>
      </c>
      <c r="B19" s="5" t="s">
        <v>17</v>
      </c>
      <c r="C19" t="s">
        <v>18</v>
      </c>
    </row>
  </sheetData>
  <sortState xmlns:xlrd2="http://schemas.microsoft.com/office/spreadsheetml/2017/richdata2" ref="A2:C26">
    <sortCondition ref="A1:A26"/>
  </sortState>
  <mergeCells count="1">
    <mergeCell ref="K1:L1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A1AD9-2B8F-446D-86BD-5BF736C200FD}">
  <dimension ref="A1:U12"/>
  <sheetViews>
    <sheetView topLeftCell="I1" zoomScale="85" zoomScaleNormal="85" workbookViewId="0">
      <selection activeCell="P30" sqref="P30"/>
    </sheetView>
  </sheetViews>
  <sheetFormatPr defaultRowHeight="14.4" x14ac:dyDescent="0.3"/>
  <cols>
    <col min="2" max="2" width="23.21875" customWidth="1"/>
    <col min="3" max="3" width="20.109375" customWidth="1"/>
    <col min="4" max="4" width="15.88671875" customWidth="1"/>
    <col min="5" max="5" width="16.109375" customWidth="1"/>
    <col min="6" max="6" width="13.109375" customWidth="1"/>
    <col min="12" max="12" width="11.77734375" customWidth="1"/>
    <col min="14" max="14" width="23.77734375" bestFit="1" customWidth="1"/>
    <col min="15" max="15" width="25" bestFit="1" customWidth="1"/>
    <col min="16" max="16" width="23.77734375" bestFit="1" customWidth="1"/>
    <col min="17" max="17" width="25" bestFit="1" customWidth="1"/>
    <col min="18" max="18" width="23.77734375" bestFit="1" customWidth="1"/>
    <col min="19" max="19" width="25" bestFit="1" customWidth="1"/>
    <col min="20" max="20" width="21.44140625" bestFit="1" customWidth="1"/>
    <col min="21" max="21" width="22.77734375" bestFit="1" customWidth="1"/>
  </cols>
  <sheetData>
    <row r="1" spans="1:21" x14ac:dyDescent="0.3">
      <c r="A1" s="1" t="s">
        <v>4</v>
      </c>
      <c r="B1" s="1" t="s">
        <v>5</v>
      </c>
      <c r="C1" s="1" t="s">
        <v>6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7</v>
      </c>
      <c r="I1" s="1" t="s">
        <v>8</v>
      </c>
      <c r="K1" s="6" t="s">
        <v>19</v>
      </c>
      <c r="L1" s="6"/>
      <c r="M1" t="s">
        <v>20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s="7" t="s">
        <v>21</v>
      </c>
      <c r="U1" s="7" t="s">
        <v>22</v>
      </c>
    </row>
    <row r="2" spans="1:21" x14ac:dyDescent="0.3">
      <c r="A2">
        <v>-50</v>
      </c>
      <c r="B2">
        <v>9.278926707677698</v>
      </c>
      <c r="C2">
        <v>-9.2077047608431144</v>
      </c>
      <c r="D2">
        <v>9.0489281219896878</v>
      </c>
      <c r="E2">
        <v>-9.0730904760346007</v>
      </c>
      <c r="F2">
        <v>7.704851112460517</v>
      </c>
      <c r="G2">
        <v>-10.159368254654771</v>
      </c>
      <c r="H2">
        <v>7.4032985260524864</v>
      </c>
      <c r="I2">
        <v>-6.2541479144881684</v>
      </c>
      <c r="K2" s="6"/>
      <c r="L2" s="6"/>
      <c r="M2">
        <v>-50</v>
      </c>
      <c r="N2">
        <f>ABS(B2)</f>
        <v>9.278926707677698</v>
      </c>
      <c r="O2">
        <f t="shared" ref="O2:U12" si="0">ABS(C2)</f>
        <v>9.2077047608431144</v>
      </c>
      <c r="P2">
        <f t="shared" si="0"/>
        <v>9.0489281219896878</v>
      </c>
      <c r="Q2">
        <f t="shared" si="0"/>
        <v>9.0730904760346007</v>
      </c>
      <c r="R2">
        <f t="shared" si="0"/>
        <v>7.704851112460517</v>
      </c>
      <c r="S2">
        <f t="shared" si="0"/>
        <v>10.159368254654771</v>
      </c>
      <c r="T2">
        <f t="shared" si="0"/>
        <v>7.4032985260524864</v>
      </c>
      <c r="U2">
        <f t="shared" si="0"/>
        <v>6.2541479144881684</v>
      </c>
    </row>
    <row r="3" spans="1:21" x14ac:dyDescent="0.3">
      <c r="A3">
        <v>-25</v>
      </c>
      <c r="B3">
        <v>8.9424260620524585</v>
      </c>
      <c r="C3">
        <v>-9.2836794112707803</v>
      </c>
      <c r="D3">
        <v>8.7314423450316756</v>
      </c>
      <c r="E3">
        <v>-9.0397308273086932</v>
      </c>
      <c r="F3">
        <v>7.6057030127617331</v>
      </c>
      <c r="G3">
        <v>-10.0151605973256</v>
      </c>
      <c r="H3">
        <v>7.1727067120661907</v>
      </c>
      <c r="I3">
        <v>-6.0700640366998249</v>
      </c>
      <c r="K3" s="6"/>
      <c r="L3" s="6"/>
      <c r="M3">
        <v>-25</v>
      </c>
      <c r="N3">
        <f t="shared" ref="N3:N12" si="1">ABS(B3)</f>
        <v>8.9424260620524585</v>
      </c>
      <c r="O3">
        <f t="shared" si="0"/>
        <v>9.2836794112707803</v>
      </c>
      <c r="P3">
        <f t="shared" si="0"/>
        <v>8.7314423450316756</v>
      </c>
      <c r="Q3">
        <f t="shared" si="0"/>
        <v>9.0397308273086932</v>
      </c>
      <c r="R3">
        <f t="shared" si="0"/>
        <v>7.6057030127617331</v>
      </c>
      <c r="S3">
        <f t="shared" si="0"/>
        <v>10.0151605973256</v>
      </c>
      <c r="T3">
        <f t="shared" si="0"/>
        <v>7.1727067120661907</v>
      </c>
      <c r="U3">
        <f t="shared" si="0"/>
        <v>6.0700640366998249</v>
      </c>
    </row>
    <row r="4" spans="1:21" x14ac:dyDescent="0.3">
      <c r="A4">
        <v>0</v>
      </c>
      <c r="B4">
        <v>8.8528625426484453</v>
      </c>
      <c r="C4">
        <v>-9.3336191689948258</v>
      </c>
      <c r="D4">
        <v>8.740168955962405</v>
      </c>
      <c r="E4">
        <v>-9.0787395778583662</v>
      </c>
      <c r="F4">
        <v>7.5702017283779739</v>
      </c>
      <c r="G4">
        <v>-10.072235643440489</v>
      </c>
      <c r="H4">
        <v>7.2183042929673054</v>
      </c>
      <c r="I4">
        <v>-5.9576195459737793</v>
      </c>
      <c r="K4" s="6"/>
      <c r="L4" s="6"/>
      <c r="M4">
        <v>0</v>
      </c>
      <c r="N4">
        <f t="shared" si="1"/>
        <v>8.8528625426484453</v>
      </c>
      <c r="O4">
        <f t="shared" si="0"/>
        <v>9.3336191689948258</v>
      </c>
      <c r="P4">
        <f t="shared" si="0"/>
        <v>8.740168955962405</v>
      </c>
      <c r="Q4">
        <f t="shared" si="0"/>
        <v>9.0787395778583662</v>
      </c>
      <c r="R4">
        <f t="shared" si="0"/>
        <v>7.5702017283779739</v>
      </c>
      <c r="S4">
        <f t="shared" si="0"/>
        <v>10.072235643440489</v>
      </c>
      <c r="T4">
        <f t="shared" si="0"/>
        <v>7.2183042929673054</v>
      </c>
      <c r="U4">
        <f t="shared" si="0"/>
        <v>5.9576195459737793</v>
      </c>
    </row>
    <row r="5" spans="1:21" x14ac:dyDescent="0.3">
      <c r="A5">
        <v>25</v>
      </c>
      <c r="B5">
        <v>8.8009333547923987</v>
      </c>
      <c r="C5">
        <v>-9.3894911497275366</v>
      </c>
      <c r="D5">
        <v>8.6916728722315479</v>
      </c>
      <c r="E5">
        <v>-9.1085875606897968</v>
      </c>
      <c r="F5">
        <v>7.5207048908703502</v>
      </c>
      <c r="G5">
        <v>-10.100873899494569</v>
      </c>
      <c r="H5">
        <v>7.0405996953360832</v>
      </c>
      <c r="I5">
        <v>-4.275167035697133</v>
      </c>
      <c r="K5" s="6"/>
      <c r="L5" s="6"/>
      <c r="M5">
        <v>25</v>
      </c>
      <c r="N5">
        <f t="shared" si="1"/>
        <v>8.8009333547923987</v>
      </c>
      <c r="O5">
        <f t="shared" si="0"/>
        <v>9.3894911497275366</v>
      </c>
      <c r="P5">
        <f t="shared" si="0"/>
        <v>8.6916728722315479</v>
      </c>
      <c r="Q5">
        <f t="shared" si="0"/>
        <v>9.1085875606897968</v>
      </c>
      <c r="R5">
        <f t="shared" si="0"/>
        <v>7.5207048908703502</v>
      </c>
      <c r="S5">
        <f t="shared" si="0"/>
        <v>10.100873899494569</v>
      </c>
      <c r="T5">
        <f t="shared" si="0"/>
        <v>7.0405996953360832</v>
      </c>
      <c r="U5">
        <f t="shared" si="0"/>
        <v>4.275167035697133</v>
      </c>
    </row>
    <row r="6" spans="1:21" x14ac:dyDescent="0.3">
      <c r="A6">
        <v>50</v>
      </c>
      <c r="B6">
        <v>8.8008656787591146</v>
      </c>
      <c r="C6">
        <v>-9.44600489380319</v>
      </c>
      <c r="D6">
        <v>8.6863797401469469</v>
      </c>
      <c r="E6">
        <v>-9.1392341377296233</v>
      </c>
      <c r="F6">
        <v>7.5416521552905866</v>
      </c>
      <c r="G6">
        <v>-10.1392262745339</v>
      </c>
      <c r="H6">
        <v>7.5291889851870968</v>
      </c>
      <c r="I6">
        <v>-4.6330133739806163</v>
      </c>
      <c r="K6" s="6"/>
      <c r="L6" s="6"/>
      <c r="M6">
        <v>50</v>
      </c>
      <c r="N6">
        <f t="shared" si="1"/>
        <v>8.8008656787591146</v>
      </c>
      <c r="O6">
        <f t="shared" si="0"/>
        <v>9.44600489380319</v>
      </c>
      <c r="P6">
        <f t="shared" si="0"/>
        <v>8.6863797401469469</v>
      </c>
      <c r="Q6">
        <f t="shared" si="0"/>
        <v>9.1392341377296233</v>
      </c>
      <c r="R6">
        <f t="shared" si="0"/>
        <v>7.5416521552905866</v>
      </c>
      <c r="S6">
        <f t="shared" si="0"/>
        <v>10.1392262745339</v>
      </c>
      <c r="T6">
        <f t="shared" si="0"/>
        <v>7.5291889851870968</v>
      </c>
      <c r="U6">
        <f t="shared" si="0"/>
        <v>4.6330133739806163</v>
      </c>
    </row>
    <row r="7" spans="1:21" x14ac:dyDescent="0.3">
      <c r="A7">
        <v>75</v>
      </c>
      <c r="B7">
        <v>8.8015145986560182</v>
      </c>
      <c r="C7">
        <v>-9.4254152143889769</v>
      </c>
      <c r="D7">
        <v>8.6785056613325757</v>
      </c>
      <c r="E7">
        <v>-9.179729645061558</v>
      </c>
      <c r="F7">
        <v>7.5829360864565176</v>
      </c>
      <c r="G7">
        <v>-10.153830379637929</v>
      </c>
      <c r="H7">
        <v>7.7262642089792442</v>
      </c>
      <c r="I7">
        <v>-6.168743530096636</v>
      </c>
      <c r="K7" s="6"/>
      <c r="L7" s="6"/>
      <c r="M7">
        <v>75</v>
      </c>
      <c r="N7">
        <f t="shared" si="1"/>
        <v>8.8015145986560182</v>
      </c>
      <c r="O7">
        <f t="shared" si="0"/>
        <v>9.4254152143889769</v>
      </c>
      <c r="P7">
        <f t="shared" si="0"/>
        <v>8.6785056613325757</v>
      </c>
      <c r="Q7">
        <f t="shared" si="0"/>
        <v>9.179729645061558</v>
      </c>
      <c r="R7">
        <f t="shared" si="0"/>
        <v>7.5829360864565176</v>
      </c>
      <c r="S7">
        <f t="shared" si="0"/>
        <v>10.153830379637929</v>
      </c>
      <c r="T7">
        <f t="shared" si="0"/>
        <v>7.7262642089792442</v>
      </c>
      <c r="U7">
        <f t="shared" si="0"/>
        <v>6.168743530096636</v>
      </c>
    </row>
    <row r="8" spans="1:21" x14ac:dyDescent="0.3">
      <c r="A8">
        <v>100</v>
      </c>
      <c r="B8">
        <v>8.8000592149100356</v>
      </c>
      <c r="C8">
        <v>-9.4919853844123594</v>
      </c>
      <c r="D8">
        <v>8.7013135442008291</v>
      </c>
      <c r="E8">
        <v>-9.2076775451173081</v>
      </c>
      <c r="F8">
        <v>7.5447986163015939</v>
      </c>
      <c r="G8">
        <v>-10.20963190643984</v>
      </c>
      <c r="H8">
        <v>7.9688032132350921</v>
      </c>
      <c r="I8">
        <v>-3.0404793027177441</v>
      </c>
      <c r="K8" s="6"/>
      <c r="L8" s="6"/>
      <c r="M8">
        <v>100</v>
      </c>
      <c r="N8">
        <f t="shared" si="1"/>
        <v>8.8000592149100356</v>
      </c>
      <c r="O8">
        <f t="shared" si="0"/>
        <v>9.4919853844123594</v>
      </c>
      <c r="P8">
        <f t="shared" si="0"/>
        <v>8.7013135442008291</v>
      </c>
      <c r="Q8">
        <f t="shared" si="0"/>
        <v>9.2076775451173081</v>
      </c>
      <c r="R8">
        <f t="shared" si="0"/>
        <v>7.5447986163015939</v>
      </c>
      <c r="S8">
        <f t="shared" si="0"/>
        <v>10.20963190643984</v>
      </c>
      <c r="T8">
        <f t="shared" si="0"/>
        <v>7.9688032132350921</v>
      </c>
      <c r="U8">
        <f t="shared" si="0"/>
        <v>3.0404793027177441</v>
      </c>
    </row>
    <row r="9" spans="1:21" x14ac:dyDescent="0.3">
      <c r="A9">
        <v>125</v>
      </c>
      <c r="B9">
        <v>8.7923071352443642</v>
      </c>
      <c r="C9">
        <v>-9.4920754302549977</v>
      </c>
      <c r="D9">
        <v>8.6985356011102581</v>
      </c>
      <c r="E9">
        <v>-9.250645686646477</v>
      </c>
      <c r="F9">
        <v>7.5479487095177413</v>
      </c>
      <c r="G9">
        <v>-10.22334710673934</v>
      </c>
      <c r="H9">
        <v>8.18782283718404</v>
      </c>
      <c r="I9">
        <v>-4.9754360687471211</v>
      </c>
      <c r="K9" s="6"/>
      <c r="L9" s="6"/>
      <c r="M9">
        <v>125</v>
      </c>
      <c r="N9">
        <f t="shared" si="1"/>
        <v>8.7923071352443642</v>
      </c>
      <c r="O9">
        <f t="shared" si="0"/>
        <v>9.4920754302549977</v>
      </c>
      <c r="P9">
        <f t="shared" si="0"/>
        <v>8.6985356011102581</v>
      </c>
      <c r="Q9">
        <f t="shared" si="0"/>
        <v>9.250645686646477</v>
      </c>
      <c r="R9">
        <f t="shared" si="0"/>
        <v>7.5479487095177413</v>
      </c>
      <c r="S9">
        <f t="shared" si="0"/>
        <v>10.22334710673934</v>
      </c>
      <c r="T9">
        <f t="shared" si="0"/>
        <v>8.18782283718404</v>
      </c>
      <c r="U9">
        <f t="shared" si="0"/>
        <v>4.9754360687471211</v>
      </c>
    </row>
    <row r="10" spans="1:21" x14ac:dyDescent="0.3">
      <c r="A10">
        <v>150</v>
      </c>
      <c r="B10">
        <v>8.8053130912811355</v>
      </c>
      <c r="C10">
        <v>-9.5413916642385939</v>
      </c>
      <c r="D10">
        <v>8.6826593613889038</v>
      </c>
      <c r="E10">
        <v>-9.2716810290589571</v>
      </c>
      <c r="F10">
        <v>7.517514936509766</v>
      </c>
      <c r="G10">
        <v>-10.236559028409429</v>
      </c>
      <c r="H10">
        <v>8.6365988813645114</v>
      </c>
      <c r="I10">
        <v>-6.3627622646259283</v>
      </c>
      <c r="K10" s="6"/>
      <c r="L10" s="6"/>
      <c r="M10">
        <v>150</v>
      </c>
      <c r="N10">
        <f t="shared" si="1"/>
        <v>8.8053130912811355</v>
      </c>
      <c r="O10">
        <f t="shared" si="0"/>
        <v>9.5413916642385939</v>
      </c>
      <c r="P10">
        <f t="shared" si="0"/>
        <v>8.6826593613889038</v>
      </c>
      <c r="Q10">
        <f t="shared" si="0"/>
        <v>9.2716810290589571</v>
      </c>
      <c r="R10">
        <f t="shared" si="0"/>
        <v>7.517514936509766</v>
      </c>
      <c r="S10">
        <f t="shared" si="0"/>
        <v>10.236559028409429</v>
      </c>
      <c r="T10">
        <f t="shared" si="0"/>
        <v>8.6365988813645114</v>
      </c>
      <c r="U10">
        <f t="shared" si="0"/>
        <v>6.3627622646259283</v>
      </c>
    </row>
    <row r="11" spans="1:21" x14ac:dyDescent="0.3">
      <c r="A11">
        <v>175</v>
      </c>
      <c r="B11">
        <v>8.8087297903486341</v>
      </c>
      <c r="C11">
        <v>-9.5670857350788729</v>
      </c>
      <c r="D11">
        <v>8.7046567098381491</v>
      </c>
      <c r="E11">
        <v>-9.2986644297196968</v>
      </c>
      <c r="F11">
        <v>7.5543836656808701</v>
      </c>
      <c r="G11">
        <v>-10.255202037869079</v>
      </c>
      <c r="H11">
        <v>8.8536797418140942</v>
      </c>
      <c r="I11">
        <v>-6.7546127073487741</v>
      </c>
      <c r="K11" s="6"/>
      <c r="L11" s="6"/>
      <c r="M11">
        <v>175</v>
      </c>
      <c r="N11">
        <f t="shared" si="1"/>
        <v>8.8087297903486341</v>
      </c>
      <c r="O11">
        <f t="shared" si="0"/>
        <v>9.5670857350788729</v>
      </c>
      <c r="P11">
        <f t="shared" si="0"/>
        <v>8.7046567098381491</v>
      </c>
      <c r="Q11">
        <f t="shared" si="0"/>
        <v>9.2986644297196968</v>
      </c>
      <c r="R11">
        <f t="shared" si="0"/>
        <v>7.5543836656808701</v>
      </c>
      <c r="S11">
        <f t="shared" si="0"/>
        <v>10.255202037869079</v>
      </c>
      <c r="T11">
        <f t="shared" si="0"/>
        <v>8.8536797418140942</v>
      </c>
      <c r="U11">
        <f t="shared" si="0"/>
        <v>6.7546127073487741</v>
      </c>
    </row>
    <row r="12" spans="1:21" x14ac:dyDescent="0.3">
      <c r="A12">
        <v>200</v>
      </c>
      <c r="B12">
        <v>8.8003891368569018</v>
      </c>
      <c r="C12">
        <v>-9.5813293951687495</v>
      </c>
      <c r="D12">
        <v>8.7054562359955856</v>
      </c>
      <c r="E12">
        <v>-9.3195955192320117</v>
      </c>
      <c r="F12">
        <v>7.2164932597723253</v>
      </c>
      <c r="G12">
        <v>-10.283282636089769</v>
      </c>
      <c r="H12">
        <v>9.0972129367834746</v>
      </c>
      <c r="I12">
        <v>-5.8337276246461292</v>
      </c>
      <c r="K12" s="6"/>
      <c r="L12" s="6"/>
      <c r="M12">
        <v>200</v>
      </c>
      <c r="N12">
        <f t="shared" si="1"/>
        <v>8.8003891368569018</v>
      </c>
      <c r="O12">
        <f t="shared" si="0"/>
        <v>9.5813293951687495</v>
      </c>
      <c r="P12">
        <f t="shared" si="0"/>
        <v>8.7054562359955856</v>
      </c>
      <c r="Q12">
        <f t="shared" si="0"/>
        <v>9.3195955192320117</v>
      </c>
      <c r="R12">
        <f t="shared" si="0"/>
        <v>7.2164932597723253</v>
      </c>
      <c r="S12">
        <f t="shared" si="0"/>
        <v>10.283282636089769</v>
      </c>
      <c r="T12">
        <f t="shared" si="0"/>
        <v>9.0972129367834746</v>
      </c>
      <c r="U12">
        <f t="shared" si="0"/>
        <v>5.8337276246461292</v>
      </c>
    </row>
  </sheetData>
  <sortState xmlns:xlrd2="http://schemas.microsoft.com/office/spreadsheetml/2017/richdata2" ref="A2:C25">
    <sortCondition ref="A1:A25"/>
  </sortState>
  <mergeCells count="1">
    <mergeCell ref="K1:L1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hysteresis_area</vt:lpstr>
      <vt:lpstr>boundary</vt:lpstr>
      <vt:lpstr>peak_load</vt:lpstr>
    </vt:vector>
  </TitlesOfParts>
  <Company>Wake Forest Baptist Medical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Chana Coltoff</dc:creator>
  <cp:lastModifiedBy>Siril Dukkipati</cp:lastModifiedBy>
  <dcterms:created xsi:type="dcterms:W3CDTF">2025-04-04T21:00:58Z</dcterms:created>
  <dcterms:modified xsi:type="dcterms:W3CDTF">2026-03-03T06:09:59Z</dcterms:modified>
</cp:coreProperties>
</file>