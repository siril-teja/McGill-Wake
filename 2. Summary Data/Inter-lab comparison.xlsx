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_Research/Academics/0. TIM Research/McGill - Wakeforest project/McGill-Wakeforest Share/Github Repository/2. Summary Data/"/>
    </mc:Choice>
  </mc:AlternateContent>
  <xr:revisionPtr revIDLastSave="449" documentId="8_{E1D6541C-C89B-435D-AE57-7ADE7F7D1DC3}" xr6:coauthVersionLast="47" xr6:coauthVersionMax="47" xr10:uidLastSave="{02F10228-A0F6-4248-923B-C1F72F2BDE12}"/>
  <bookViews>
    <workbookView xWindow="-108" yWindow="-108" windowWidth="23256" windowHeight="13896" tabRatio="741" xr2:uid="{4B09455E-D41A-4F5D-B61E-4DE4BA1915A7}"/>
  </bookViews>
  <sheets>
    <sheet name="Summary" sheetId="8" r:id="rId1"/>
    <sheet name="FELB - ROM comparison" sheetId="1" r:id="rId2"/>
    <sheet name="FELB - Peak Load Comparison" sheetId="2" r:id="rId3"/>
    <sheet name="FELB - Hysteresis Comparison" sheetId="3" r:id="rId4"/>
    <sheet name="AR-C - ROM comparison" sheetId="4" r:id="rId5"/>
    <sheet name="AR-C - Peak Load Comparison" sheetId="6" r:id="rId6"/>
    <sheet name="AR-C - Hysteresis Comparis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8" i="3"/>
  <c r="D19" i="7"/>
  <c r="M19" i="7"/>
  <c r="J19" i="7"/>
  <c r="G19" i="7"/>
  <c r="M13" i="7"/>
  <c r="J13" i="7"/>
  <c r="G13" i="7"/>
  <c r="D13" i="7"/>
  <c r="M12" i="7"/>
  <c r="J12" i="7"/>
  <c r="G12" i="7"/>
  <c r="D12" i="7"/>
  <c r="M11" i="7"/>
  <c r="J11" i="7"/>
  <c r="G11" i="7"/>
  <c r="D11" i="7"/>
  <c r="M10" i="7"/>
  <c r="J10" i="7"/>
  <c r="G10" i="7"/>
  <c r="D10" i="7"/>
  <c r="M9" i="7"/>
  <c r="J9" i="7"/>
  <c r="G9" i="7"/>
  <c r="D9" i="7"/>
  <c r="M8" i="7"/>
  <c r="J8" i="7"/>
  <c r="G8" i="7"/>
  <c r="D8" i="7"/>
  <c r="M7" i="7"/>
  <c r="J7" i="7"/>
  <c r="G7" i="7"/>
  <c r="D7" i="7"/>
  <c r="M6" i="7"/>
  <c r="J6" i="7"/>
  <c r="G6" i="7"/>
  <c r="D6" i="7"/>
  <c r="M5" i="7"/>
  <c r="J5" i="7"/>
  <c r="G5" i="7"/>
  <c r="D5" i="7"/>
  <c r="M4" i="7"/>
  <c r="J4" i="7"/>
  <c r="G4" i="7"/>
  <c r="D4" i="7"/>
  <c r="M3" i="7"/>
  <c r="J3" i="7"/>
  <c r="G3" i="7"/>
  <c r="D3" i="7"/>
  <c r="Y5" i="6"/>
  <c r="Y6" i="6"/>
  <c r="Y7" i="6"/>
  <c r="Y8" i="6"/>
  <c r="Y9" i="6"/>
  <c r="Y10" i="6"/>
  <c r="Y11" i="6"/>
  <c r="Y12" i="6"/>
  <c r="Y13" i="6"/>
  <c r="Y14" i="6"/>
  <c r="Y4" i="6"/>
  <c r="AI14" i="6"/>
  <c r="AJ12" i="6"/>
  <c r="AI12" i="6"/>
  <c r="AJ10" i="6"/>
  <c r="AI10" i="6"/>
  <c r="AH6" i="6"/>
  <c r="AI5" i="6"/>
  <c r="AJ4" i="6"/>
  <c r="AI4" i="6"/>
  <c r="Z12" i="6"/>
  <c r="AA10" i="6"/>
  <c r="AA7" i="6"/>
  <c r="Z7" i="6"/>
  <c r="AA6" i="6"/>
  <c r="Z6" i="6"/>
  <c r="AA5" i="6"/>
  <c r="Z5" i="6"/>
  <c r="Q14" i="6"/>
  <c r="Q12" i="6"/>
  <c r="P11" i="6"/>
  <c r="R10" i="6"/>
  <c r="R9" i="6"/>
  <c r="R8" i="6"/>
  <c r="Q8" i="6"/>
  <c r="R7" i="6"/>
  <c r="P7" i="6"/>
  <c r="R6" i="6"/>
  <c r="Q6" i="6"/>
  <c r="R5" i="6"/>
  <c r="H14" i="6"/>
  <c r="G11" i="6"/>
  <c r="I9" i="6"/>
  <c r="H9" i="6"/>
  <c r="I8" i="6"/>
  <c r="G8" i="6"/>
  <c r="I7" i="6"/>
  <c r="G7" i="6"/>
  <c r="AJ11" i="6"/>
  <c r="AI11" i="6"/>
  <c r="AJ9" i="6"/>
  <c r="AI9" i="6"/>
  <c r="AI8" i="6"/>
  <c r="AJ7" i="6"/>
  <c r="AI7" i="6"/>
  <c r="AJ6" i="6"/>
  <c r="AI6" i="6"/>
  <c r="AJ5" i="6"/>
  <c r="V13" i="6"/>
  <c r="AB13" i="6" s="1"/>
  <c r="AA11" i="6"/>
  <c r="Z11" i="6"/>
  <c r="Z9" i="6"/>
  <c r="AA8" i="6"/>
  <c r="Z8" i="6"/>
  <c r="Q13" i="6"/>
  <c r="R11" i="6"/>
  <c r="Q11" i="6"/>
  <c r="M8" i="6"/>
  <c r="M7" i="6"/>
  <c r="M5" i="6"/>
  <c r="H11" i="6"/>
  <c r="I6" i="6"/>
  <c r="H6" i="6"/>
  <c r="I5" i="6"/>
  <c r="D5" i="6"/>
  <c r="R14" i="6"/>
  <c r="R4" i="6"/>
  <c r="G14" i="6"/>
  <c r="I12" i="6"/>
  <c r="H12" i="6"/>
  <c r="G10" i="6"/>
  <c r="G5" i="6"/>
  <c r="AJ14" i="6"/>
  <c r="AA12" i="6"/>
  <c r="V12" i="6"/>
  <c r="M13" i="6"/>
  <c r="R12" i="6"/>
  <c r="M12" i="6"/>
  <c r="M10" i="6"/>
  <c r="M9" i="6"/>
  <c r="M6" i="6"/>
  <c r="I14" i="6"/>
  <c r="I11" i="6"/>
  <c r="I10" i="6"/>
  <c r="H10" i="6"/>
  <c r="I21" i="6"/>
  <c r="H21" i="6"/>
  <c r="AH14" i="6"/>
  <c r="AE14" i="6"/>
  <c r="AA14" i="6"/>
  <c r="Z14" i="6"/>
  <c r="V14" i="6"/>
  <c r="M14" i="6"/>
  <c r="D14" i="6"/>
  <c r="AJ13" i="6"/>
  <c r="AI13" i="6"/>
  <c r="AH13" i="6"/>
  <c r="AE13" i="6"/>
  <c r="AA13" i="6"/>
  <c r="Z13" i="6"/>
  <c r="R13" i="6"/>
  <c r="P13" i="6"/>
  <c r="I13" i="6"/>
  <c r="H13" i="6"/>
  <c r="G13" i="6"/>
  <c r="D13" i="6"/>
  <c r="AE12" i="6"/>
  <c r="D12" i="6"/>
  <c r="AH11" i="6"/>
  <c r="AE10" i="6"/>
  <c r="Z10" i="6"/>
  <c r="V10" i="6"/>
  <c r="AB10" i="6" s="1"/>
  <c r="P10" i="6"/>
  <c r="AH9" i="6"/>
  <c r="AA9" i="6"/>
  <c r="P9" i="6"/>
  <c r="D9" i="6"/>
  <c r="AJ8" i="6"/>
  <c r="AH8" i="6"/>
  <c r="AH7" i="6"/>
  <c r="AH4" i="6"/>
  <c r="AE4" i="6"/>
  <c r="AA4" i="6"/>
  <c r="Z4" i="6"/>
  <c r="V4" i="6"/>
  <c r="AB4" i="6" s="1"/>
  <c r="Q4" i="6"/>
  <c r="M4" i="6"/>
  <c r="I4" i="6"/>
  <c r="H4" i="6"/>
  <c r="G4" i="6"/>
  <c r="D4" i="6"/>
  <c r="AJ11" i="4"/>
  <c r="AE11" i="4"/>
  <c r="AJ10" i="4"/>
  <c r="AI10" i="4"/>
  <c r="AI9" i="4"/>
  <c r="AJ8" i="4"/>
  <c r="AE8" i="4"/>
  <c r="AJ7" i="4"/>
  <c r="AE7" i="4"/>
  <c r="AJ6" i="4"/>
  <c r="AE5" i="4"/>
  <c r="AE4" i="4"/>
  <c r="Z12" i="4"/>
  <c r="Z11" i="4"/>
  <c r="AA10" i="4"/>
  <c r="Y10" i="4"/>
  <c r="AA7" i="4"/>
  <c r="Z7" i="4"/>
  <c r="Y6" i="4"/>
  <c r="Y5" i="4"/>
  <c r="R14" i="4"/>
  <c r="P14" i="4"/>
  <c r="P13" i="4"/>
  <c r="Q12" i="4"/>
  <c r="Q11" i="4"/>
  <c r="Q9" i="4"/>
  <c r="R8" i="4"/>
  <c r="Q8" i="4"/>
  <c r="R7" i="4"/>
  <c r="P7" i="4"/>
  <c r="R5" i="4"/>
  <c r="Q5" i="4"/>
  <c r="P4" i="4"/>
  <c r="AJ13" i="4"/>
  <c r="AJ12" i="4"/>
  <c r="AH10" i="4"/>
  <c r="AH4" i="4"/>
  <c r="V12" i="4"/>
  <c r="AA11" i="4"/>
  <c r="AA9" i="4"/>
  <c r="Z9" i="4"/>
  <c r="V7" i="4"/>
  <c r="AA6" i="4"/>
  <c r="V6" i="4"/>
  <c r="AA5" i="4"/>
  <c r="Q14" i="4"/>
  <c r="R13" i="4"/>
  <c r="M10" i="4"/>
  <c r="R9" i="4"/>
  <c r="M7" i="4"/>
  <c r="R6" i="4"/>
  <c r="Q6" i="4"/>
  <c r="M5" i="4"/>
  <c r="R4" i="4"/>
  <c r="Q4" i="4"/>
  <c r="AJ14" i="4"/>
  <c r="AI14" i="4"/>
  <c r="AH14" i="4"/>
  <c r="AE14" i="4"/>
  <c r="AI13" i="4"/>
  <c r="AE13" i="4"/>
  <c r="AI12" i="4"/>
  <c r="AH12" i="4"/>
  <c r="AE12" i="4"/>
  <c r="AJ9" i="4"/>
  <c r="AH9" i="4"/>
  <c r="AE9" i="4"/>
  <c r="AI6" i="4"/>
  <c r="AH6" i="4"/>
  <c r="AE6" i="4"/>
  <c r="AK6" i="4" s="1"/>
  <c r="AJ5" i="4"/>
  <c r="AI5" i="4"/>
  <c r="AH5" i="4"/>
  <c r="AJ4" i="4"/>
  <c r="AI4" i="4"/>
  <c r="AA14" i="4"/>
  <c r="Z14" i="4"/>
  <c r="Y14" i="4"/>
  <c r="V14" i="4"/>
  <c r="AA13" i="4"/>
  <c r="Z13" i="4"/>
  <c r="Y13" i="4"/>
  <c r="V13" i="4"/>
  <c r="AA12" i="4"/>
  <c r="Y12" i="4"/>
  <c r="Y11" i="4"/>
  <c r="V10" i="4"/>
  <c r="Y9" i="4"/>
  <c r="V9" i="4"/>
  <c r="AB9" i="4" s="1"/>
  <c r="AA8" i="4"/>
  <c r="Z8" i="4"/>
  <c r="Y8" i="4"/>
  <c r="V8" i="4"/>
  <c r="AA4" i="4"/>
  <c r="Z4" i="4"/>
  <c r="Y4" i="4"/>
  <c r="V4" i="4"/>
  <c r="R21" i="4"/>
  <c r="Q21" i="4"/>
  <c r="Q13" i="4"/>
  <c r="M13" i="4"/>
  <c r="R12" i="4"/>
  <c r="M12" i="4"/>
  <c r="R11" i="4"/>
  <c r="P11" i="4"/>
  <c r="M11" i="4"/>
  <c r="S11" i="4" s="1"/>
  <c r="R10" i="4"/>
  <c r="Q10" i="4"/>
  <c r="P10" i="4"/>
  <c r="P9" i="4"/>
  <c r="P6" i="4"/>
  <c r="M6" i="4"/>
  <c r="I22" i="4"/>
  <c r="J22" i="4"/>
  <c r="H22" i="4"/>
  <c r="J21" i="4"/>
  <c r="I21" i="4"/>
  <c r="H21" i="4"/>
  <c r="I19" i="4"/>
  <c r="J19" i="4"/>
  <c r="H19" i="4"/>
  <c r="I18" i="4"/>
  <c r="J18" i="4"/>
  <c r="H18" i="4"/>
  <c r="J5" i="4"/>
  <c r="J6" i="4"/>
  <c r="J7" i="4"/>
  <c r="J8" i="4"/>
  <c r="J9" i="4"/>
  <c r="J10" i="4"/>
  <c r="J11" i="4"/>
  <c r="J12" i="4"/>
  <c r="J13" i="4"/>
  <c r="J14" i="4"/>
  <c r="J4" i="4"/>
  <c r="I5" i="4"/>
  <c r="I6" i="4"/>
  <c r="I7" i="4"/>
  <c r="I8" i="4"/>
  <c r="I9" i="4"/>
  <c r="I10" i="4"/>
  <c r="I11" i="4"/>
  <c r="I12" i="4"/>
  <c r="I13" i="4"/>
  <c r="I14" i="4"/>
  <c r="I4" i="4"/>
  <c r="H5" i="4"/>
  <c r="H6" i="4"/>
  <c r="H7" i="4"/>
  <c r="H8" i="4"/>
  <c r="H9" i="4"/>
  <c r="H10" i="4"/>
  <c r="H11" i="4"/>
  <c r="H12" i="4"/>
  <c r="H13" i="4"/>
  <c r="H14" i="4"/>
  <c r="H4" i="4"/>
  <c r="G11" i="4"/>
  <c r="G10" i="4"/>
  <c r="G9" i="4"/>
  <c r="G8" i="4"/>
  <c r="G7" i="4"/>
  <c r="G6" i="4"/>
  <c r="G5" i="4"/>
  <c r="G12" i="4"/>
  <c r="G13" i="4"/>
  <c r="G14" i="4"/>
  <c r="G4" i="4"/>
  <c r="D5" i="4"/>
  <c r="D6" i="4"/>
  <c r="D7" i="4"/>
  <c r="D8" i="4"/>
  <c r="D9" i="4"/>
  <c r="D10" i="4"/>
  <c r="D11" i="4"/>
  <c r="D12" i="4"/>
  <c r="D13" i="4"/>
  <c r="D14" i="4"/>
  <c r="D4" i="4"/>
  <c r="M20" i="3"/>
  <c r="J20" i="3"/>
  <c r="G20" i="3"/>
  <c r="D20" i="3"/>
  <c r="M14" i="3"/>
  <c r="J14" i="3"/>
  <c r="G14" i="3"/>
  <c r="D14" i="3"/>
  <c r="M13" i="3"/>
  <c r="J13" i="3"/>
  <c r="G13" i="3"/>
  <c r="D13" i="3"/>
  <c r="M12" i="3"/>
  <c r="J12" i="3"/>
  <c r="G12" i="3"/>
  <c r="D12" i="3"/>
  <c r="M11" i="3"/>
  <c r="J11" i="3"/>
  <c r="G11" i="3"/>
  <c r="D11" i="3"/>
  <c r="M10" i="3"/>
  <c r="J10" i="3"/>
  <c r="G10" i="3"/>
  <c r="D10" i="3"/>
  <c r="M9" i="3"/>
  <c r="J9" i="3"/>
  <c r="G9" i="3"/>
  <c r="D9" i="3"/>
  <c r="M8" i="3"/>
  <c r="J8" i="3"/>
  <c r="G8" i="3"/>
  <c r="D8" i="3"/>
  <c r="M7" i="3"/>
  <c r="J7" i="3"/>
  <c r="G7" i="3"/>
  <c r="D7" i="3"/>
  <c r="M6" i="3"/>
  <c r="J6" i="3"/>
  <c r="G6" i="3"/>
  <c r="D6" i="3"/>
  <c r="M5" i="3"/>
  <c r="J5" i="3"/>
  <c r="G5" i="3"/>
  <c r="D5" i="3"/>
  <c r="M4" i="3"/>
  <c r="J4" i="3"/>
  <c r="G4" i="3"/>
  <c r="D4" i="3"/>
  <c r="M3" i="3"/>
  <c r="J3" i="3"/>
  <c r="G3" i="3"/>
  <c r="D3" i="3"/>
  <c r="M32" i="2"/>
  <c r="J32" i="2"/>
  <c r="G32" i="2"/>
  <c r="D32" i="2"/>
  <c r="M26" i="2"/>
  <c r="J26" i="2"/>
  <c r="G26" i="2"/>
  <c r="D26" i="2"/>
  <c r="M25" i="2"/>
  <c r="J25" i="2"/>
  <c r="G25" i="2"/>
  <c r="D25" i="2"/>
  <c r="M24" i="2"/>
  <c r="J24" i="2"/>
  <c r="G24" i="2"/>
  <c r="D24" i="2"/>
  <c r="M23" i="2"/>
  <c r="J23" i="2"/>
  <c r="G23" i="2"/>
  <c r="D23" i="2"/>
  <c r="M22" i="2"/>
  <c r="J22" i="2"/>
  <c r="G22" i="2"/>
  <c r="D22" i="2"/>
  <c r="M21" i="2"/>
  <c r="J21" i="2"/>
  <c r="G21" i="2"/>
  <c r="D21" i="2"/>
  <c r="M20" i="2"/>
  <c r="J20" i="2"/>
  <c r="G20" i="2"/>
  <c r="D20" i="2"/>
  <c r="M19" i="2"/>
  <c r="J19" i="2"/>
  <c r="G19" i="2"/>
  <c r="D19" i="2"/>
  <c r="M18" i="2"/>
  <c r="J18" i="2"/>
  <c r="G18" i="2"/>
  <c r="D18" i="2"/>
  <c r="M17" i="2"/>
  <c r="J17" i="2"/>
  <c r="G17" i="2"/>
  <c r="D17" i="2"/>
  <c r="M16" i="2"/>
  <c r="J16" i="2"/>
  <c r="G16" i="2"/>
  <c r="D16" i="2"/>
  <c r="M15" i="2"/>
  <c r="J15" i="2"/>
  <c r="G15" i="2"/>
  <c r="D15" i="2"/>
  <c r="M14" i="2"/>
  <c r="J14" i="2"/>
  <c r="G14" i="2"/>
  <c r="D14" i="2"/>
  <c r="M13" i="2"/>
  <c r="J13" i="2"/>
  <c r="G13" i="2"/>
  <c r="D13" i="2"/>
  <c r="M12" i="2"/>
  <c r="J12" i="2"/>
  <c r="G12" i="2"/>
  <c r="D12" i="2"/>
  <c r="M11" i="2"/>
  <c r="J11" i="2"/>
  <c r="G11" i="2"/>
  <c r="D11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M10" i="2"/>
  <c r="J10" i="2"/>
  <c r="G10" i="2"/>
  <c r="D10" i="2"/>
  <c r="A10" i="2"/>
  <c r="M9" i="2"/>
  <c r="J9" i="2"/>
  <c r="G9" i="2"/>
  <c r="D9" i="2"/>
  <c r="M8" i="2"/>
  <c r="J8" i="2"/>
  <c r="G8" i="2"/>
  <c r="D8" i="2"/>
  <c r="M7" i="2"/>
  <c r="J7" i="2"/>
  <c r="G7" i="2"/>
  <c r="D7" i="2"/>
  <c r="M6" i="2"/>
  <c r="J6" i="2"/>
  <c r="G6" i="2"/>
  <c r="D6" i="2"/>
  <c r="M5" i="2"/>
  <c r="J5" i="2"/>
  <c r="G5" i="2"/>
  <c r="D5" i="2"/>
  <c r="M4" i="2"/>
  <c r="J4" i="2"/>
  <c r="G4" i="2"/>
  <c r="D4" i="2"/>
  <c r="M3" i="2"/>
  <c r="J3" i="2"/>
  <c r="G3" i="2"/>
  <c r="D3" i="2"/>
  <c r="M32" i="1"/>
  <c r="M33" i="1" s="1"/>
  <c r="J32" i="1"/>
  <c r="J33" i="1" s="1"/>
  <c r="G33" i="1"/>
  <c r="G32" i="1"/>
  <c r="D33" i="1"/>
  <c r="D32" i="1"/>
  <c r="M30" i="1"/>
  <c r="M29" i="1"/>
  <c r="J30" i="1"/>
  <c r="J29" i="1"/>
  <c r="G30" i="1"/>
  <c r="G29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3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D16" i="7" l="1"/>
  <c r="J16" i="7"/>
  <c r="J20" i="7" s="1"/>
  <c r="D20" i="7"/>
  <c r="G16" i="7"/>
  <c r="G20" i="7" s="1"/>
  <c r="M17" i="7"/>
  <c r="J17" i="7"/>
  <c r="G17" i="7"/>
  <c r="D17" i="7"/>
  <c r="M16" i="7"/>
  <c r="M20" i="7" s="1"/>
  <c r="AB12" i="6"/>
  <c r="AB14" i="6"/>
  <c r="AK13" i="6"/>
  <c r="AH10" i="6"/>
  <c r="AK10" i="6"/>
  <c r="AH12" i="6"/>
  <c r="AK12" i="6" s="1"/>
  <c r="AK14" i="6"/>
  <c r="AH5" i="6"/>
  <c r="P12" i="6"/>
  <c r="G9" i="6"/>
  <c r="J9" i="6" s="1"/>
  <c r="H8" i="6"/>
  <c r="AE5" i="6"/>
  <c r="AK5" i="6" s="1"/>
  <c r="AE8" i="6"/>
  <c r="AK8" i="6" s="1"/>
  <c r="V8" i="6"/>
  <c r="AB8" i="6" s="1"/>
  <c r="V11" i="6"/>
  <c r="AB11" i="6" s="1"/>
  <c r="Q5" i="6"/>
  <c r="M11" i="6"/>
  <c r="S11" i="6" s="1"/>
  <c r="D8" i="6"/>
  <c r="S10" i="6"/>
  <c r="S12" i="6"/>
  <c r="Q21" i="6"/>
  <c r="P6" i="6"/>
  <c r="P5" i="6"/>
  <c r="S5" i="6" s="1"/>
  <c r="P4" i="6"/>
  <c r="S4" i="6" s="1"/>
  <c r="P14" i="6"/>
  <c r="S6" i="6"/>
  <c r="R21" i="6"/>
  <c r="P8" i="6"/>
  <c r="S8" i="6" s="1"/>
  <c r="S7" i="6"/>
  <c r="S9" i="6"/>
  <c r="J13" i="6"/>
  <c r="G6" i="6"/>
  <c r="G12" i="6"/>
  <c r="J12" i="6" s="1"/>
  <c r="J8" i="6"/>
  <c r="J5" i="6"/>
  <c r="J14" i="6"/>
  <c r="H7" i="6"/>
  <c r="AI21" i="6"/>
  <c r="AJ21" i="6"/>
  <c r="AE7" i="6"/>
  <c r="AK7" i="6" s="1"/>
  <c r="AE6" i="6"/>
  <c r="AK6" i="6" s="1"/>
  <c r="AE11" i="6"/>
  <c r="AK11" i="6" s="1"/>
  <c r="AE9" i="6"/>
  <c r="AK9" i="6" s="1"/>
  <c r="Z21" i="6"/>
  <c r="V7" i="6"/>
  <c r="AB7" i="6" s="1"/>
  <c r="AA21" i="6"/>
  <c r="V9" i="6"/>
  <c r="AB9" i="6" s="1"/>
  <c r="V6" i="6"/>
  <c r="AB6" i="6" s="1"/>
  <c r="V5" i="6"/>
  <c r="AB5" i="6" s="1"/>
  <c r="Q9" i="6"/>
  <c r="Q7" i="6"/>
  <c r="Q10" i="6"/>
  <c r="S13" i="6"/>
  <c r="D7" i="6"/>
  <c r="J7" i="6" s="1"/>
  <c r="D11" i="6"/>
  <c r="J11" i="6" s="1"/>
  <c r="H5" i="6"/>
  <c r="D6" i="6"/>
  <c r="J6" i="6" s="1"/>
  <c r="D10" i="6"/>
  <c r="J10" i="6" s="1"/>
  <c r="AJ18" i="6"/>
  <c r="AK4" i="6"/>
  <c r="AI18" i="6"/>
  <c r="AI22" i="6" s="1"/>
  <c r="AI19" i="6"/>
  <c r="AJ19" i="6"/>
  <c r="Z18" i="6"/>
  <c r="AA18" i="6"/>
  <c r="S14" i="6"/>
  <c r="R19" i="6"/>
  <c r="J4" i="6"/>
  <c r="I18" i="6"/>
  <c r="I22" i="6" s="1"/>
  <c r="I19" i="6"/>
  <c r="Z19" i="6"/>
  <c r="AA19" i="6"/>
  <c r="R18" i="6"/>
  <c r="AK5" i="4"/>
  <c r="AI7" i="4"/>
  <c r="AI8" i="4"/>
  <c r="AK9" i="4"/>
  <c r="AI11" i="4"/>
  <c r="AI18" i="4" s="1"/>
  <c r="AE10" i="4"/>
  <c r="AK10" i="4" s="1"/>
  <c r="AB13" i="4"/>
  <c r="AB4" i="4"/>
  <c r="Z10" i="4"/>
  <c r="Y7" i="4"/>
  <c r="AB8" i="4"/>
  <c r="Z21" i="4"/>
  <c r="AB7" i="4"/>
  <c r="AB12" i="4"/>
  <c r="P8" i="4"/>
  <c r="P12" i="4"/>
  <c r="S12" i="4" s="1"/>
  <c r="S13" i="4"/>
  <c r="S7" i="4"/>
  <c r="P5" i="4"/>
  <c r="S5" i="4" s="1"/>
  <c r="AK14" i="4"/>
  <c r="AH8" i="4"/>
  <c r="AH13" i="4"/>
  <c r="AK13" i="4" s="1"/>
  <c r="AK4" i="4"/>
  <c r="AJ19" i="4"/>
  <c r="AI21" i="4"/>
  <c r="AJ21" i="4"/>
  <c r="AH11" i="4"/>
  <c r="AH7" i="4"/>
  <c r="AK7" i="4" s="1"/>
  <c r="AK12" i="4"/>
  <c r="AK11" i="4"/>
  <c r="AA18" i="4"/>
  <c r="AB14" i="4"/>
  <c r="Z5" i="4"/>
  <c r="AA21" i="4"/>
  <c r="AA19" i="4"/>
  <c r="V5" i="4"/>
  <c r="AB5" i="4" s="1"/>
  <c r="AB10" i="4"/>
  <c r="AB6" i="4"/>
  <c r="V11" i="4"/>
  <c r="AB11" i="4" s="1"/>
  <c r="Z6" i="4"/>
  <c r="Z19" i="4" s="1"/>
  <c r="Q7" i="4"/>
  <c r="Q19" i="4" s="1"/>
  <c r="M8" i="4"/>
  <c r="S8" i="4" s="1"/>
  <c r="M4" i="4"/>
  <c r="S4" i="4" s="1"/>
  <c r="M9" i="4"/>
  <c r="S9" i="4" s="1"/>
  <c r="M14" i="4"/>
  <c r="AJ18" i="4"/>
  <c r="AI19" i="4"/>
  <c r="S6" i="4"/>
  <c r="Q18" i="4"/>
  <c r="Q22" i="4" s="1"/>
  <c r="S14" i="4"/>
  <c r="R18" i="4"/>
  <c r="R22" i="4" s="1"/>
  <c r="S10" i="4"/>
  <c r="R19" i="4"/>
  <c r="D21" i="3"/>
  <c r="M18" i="3"/>
  <c r="M17" i="3"/>
  <c r="M21" i="3" s="1"/>
  <c r="J18" i="3"/>
  <c r="G18" i="3"/>
  <c r="J17" i="3"/>
  <c r="J21" i="3" s="1"/>
  <c r="G17" i="3"/>
  <c r="G21" i="3" s="1"/>
  <c r="M30" i="2"/>
  <c r="J29" i="2"/>
  <c r="J33" i="2" s="1"/>
  <c r="G30" i="2"/>
  <c r="D30" i="2"/>
  <c r="J30" i="2"/>
  <c r="G29" i="2"/>
  <c r="G33" i="2" s="1"/>
  <c r="M29" i="2"/>
  <c r="M33" i="2" s="1"/>
  <c r="D29" i="2"/>
  <c r="D33" i="2" s="1"/>
  <c r="D30" i="1"/>
  <c r="D29" i="1"/>
  <c r="AB18" i="6" l="1"/>
  <c r="AJ22" i="6"/>
  <c r="AK19" i="6"/>
  <c r="Q18" i="6"/>
  <c r="Q22" i="6" s="1"/>
  <c r="AB19" i="6"/>
  <c r="AB21" i="6"/>
  <c r="AB22" i="6" s="1"/>
  <c r="S21" i="6"/>
  <c r="H19" i="6"/>
  <c r="J21" i="6"/>
  <c r="Q19" i="6"/>
  <c r="S19" i="6"/>
  <c r="R22" i="6"/>
  <c r="H18" i="6"/>
  <c r="H22" i="6" s="1"/>
  <c r="J18" i="6"/>
  <c r="AK18" i="6"/>
  <c r="AK21" i="6"/>
  <c r="Z22" i="6"/>
  <c r="AA22" i="6"/>
  <c r="S18" i="6"/>
  <c r="S22" i="6" s="1"/>
  <c r="J19" i="6"/>
  <c r="AK21" i="4"/>
  <c r="AJ22" i="4"/>
  <c r="AK8" i="4"/>
  <c r="AK18" i="4"/>
  <c r="AK22" i="4" s="1"/>
  <c r="AK19" i="4"/>
  <c r="AI22" i="4"/>
  <c r="AB19" i="4"/>
  <c r="Z18" i="4"/>
  <c r="Z22" i="4" s="1"/>
  <c r="AB18" i="4"/>
  <c r="AB21" i="4"/>
  <c r="AA22" i="4"/>
  <c r="S21" i="4"/>
  <c r="S19" i="4"/>
  <c r="S18" i="4"/>
  <c r="J22" i="6" l="1"/>
  <c r="AK22" i="6"/>
  <c r="AB22" i="4"/>
  <c r="S22" i="4"/>
</calcChain>
</file>

<file path=xl/sharedStrings.xml><?xml version="1.0" encoding="utf-8"?>
<sst xmlns="http://schemas.openxmlformats.org/spreadsheetml/2006/main" count="440" uniqueCount="83">
  <si>
    <t>Ray</t>
  </si>
  <si>
    <t>Wake Testing</t>
  </si>
  <si>
    <t>McGill Testing</t>
  </si>
  <si>
    <t>3D Printed Spec 1</t>
  </si>
  <si>
    <t>3D Printed Spec 2</t>
  </si>
  <si>
    <t>3D Printed Spec 3</t>
  </si>
  <si>
    <t>Sawbones</t>
  </si>
  <si>
    <t>Abs. Inter-lab difference</t>
  </si>
  <si>
    <t>Mean Abs. Inter-lab difference</t>
  </si>
  <si>
    <t>SD</t>
  </si>
  <si>
    <t>`</t>
  </si>
  <si>
    <t>3DP Spec 1</t>
  </si>
  <si>
    <t>3DP Spec 2</t>
  </si>
  <si>
    <t>3DP Spec 3</t>
  </si>
  <si>
    <t>Avg ROM</t>
  </si>
  <si>
    <t>% of Avg ROM</t>
  </si>
  <si>
    <t>Avg Load</t>
  </si>
  <si>
    <t>% of Avg Load</t>
  </si>
  <si>
    <t>Dataset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</si>
  <si>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</si>
  <si>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</si>
  <si>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</si>
  <si>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</si>
  <si>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</si>
  <si>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</si>
  <si>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</si>
  <si>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</si>
  <si>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</si>
  <si>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</si>
  <si>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</si>
  <si>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</si>
  <si>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Avg area Nm-deg</t>
  </si>
  <si>
    <t>% of Avg area</t>
  </si>
  <si>
    <t>Load level (N)</t>
  </si>
  <si>
    <t>Left AR</t>
  </si>
  <si>
    <t>Right AR</t>
  </si>
  <si>
    <t>Total AR</t>
  </si>
  <si>
    <t>Average total ROM</t>
  </si>
  <si>
    <t>LeftAR</t>
  </si>
  <si>
    <t>RightAR</t>
  </si>
  <si>
    <t>Total</t>
  </si>
  <si>
    <t>% of Total ROM</t>
  </si>
  <si>
    <t>Average total Load</t>
  </si>
  <si>
    <t>% of Total Load</t>
  </si>
  <si>
    <t>s</t>
  </si>
  <si>
    <t>FE-LB</t>
  </si>
  <si>
    <t>AR-C</t>
  </si>
  <si>
    <t>Protocol / Metric</t>
  </si>
  <si>
    <t>Inter-laboratory Differences</t>
  </si>
  <si>
    <t>3DP-1</t>
  </si>
  <si>
    <t>3DP-2</t>
  </si>
  <si>
    <t>3DP-3</t>
  </si>
  <si>
    <t>ROM (deg.)</t>
  </si>
  <si>
    <t>Peak Load (Nm)</t>
  </si>
  <si>
    <t>Hysteresis Area (Nm-deg.)</t>
  </si>
  <si>
    <t>0.55 ± 0.07 (8.88 %)</t>
  </si>
  <si>
    <t>0.54 ± 0.08 (8.56 %)</t>
  </si>
  <si>
    <t>0.53 ± 0.11 (9.77 %)</t>
  </si>
  <si>
    <t>2.90 ± 2.44 (20.88 %)</t>
  </si>
  <si>
    <t>1.62 ± 0.60 (17.38 %)</t>
  </si>
  <si>
    <t>1.64 ± 0.64 (18.36 %)</t>
  </si>
  <si>
    <t>0.92 ± 0.36 (9.98 %)</t>
  </si>
  <si>
    <t>1.55 ± 0.95 (27.23 %)</t>
  </si>
  <si>
    <t>3.73 ± 4.80 (10.68 %)</t>
  </si>
  <si>
    <t>3.51 ± 3.69 (10.28 %)</t>
  </si>
  <si>
    <t>4.22 ± 4.11 (14.52 %)</t>
  </si>
  <si>
    <t>13.90 ± 12.71 (45.11 %)</t>
  </si>
  <si>
    <t>0.80 ± 0.02 (3.50 %)</t>
  </si>
  <si>
    <t>0.83 ± 0.02 (3.50 %)</t>
  </si>
  <si>
    <t>0.85 ± 0.06 (4.09 %)</t>
  </si>
  <si>
    <t>1.21 ± 0.86 (9.81 %)</t>
  </si>
  <si>
    <t>0.67 ± 0.07 (3.74 %)</t>
  </si>
  <si>
    <t>0.21 ± 0.08 (1.18 %)</t>
  </si>
  <si>
    <t>0.89 ± 0.13 (4.89 %)</t>
  </si>
  <si>
    <t>3.69 ± 1.53 (24.22 %)</t>
  </si>
  <si>
    <t>36.59 ± 1.05 (45.89 %)</t>
  </si>
  <si>
    <t>35.17 ± 1.33 (45.10 %)</t>
  </si>
  <si>
    <t>23.97 ± 1.68 (34.82 %)</t>
  </si>
  <si>
    <t>17.31 ± 4.08 (82.93 %)</t>
  </si>
  <si>
    <t>For Manuscript:</t>
  </si>
  <si>
    <t>FE + LB</t>
  </si>
  <si>
    <t>AR + Axial Load</t>
  </si>
  <si>
    <t>Metric\Protocol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</si>
</sst>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2" fontId="0" fillId="8" borderId="0" xfId="0" applyNumberFormat="1" applyFill="1"/>
    <xf numFmtId="2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" fontId="3" fillId="0" borderId="1" xfId="0" applyNumberFormat="1" applyFont="1" applyBorder="1"/>
    <xf numFmtId="0" fontId="3" fillId="4" borderId="1" xfId="0" applyFont="1" applyFill="1" applyBorder="1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7957-40A3-4ABE-97C7-06FEEE5CBB1E}">
  <dimension ref="A1:M25"/>
  <sheetViews>
    <sheetView tabSelected="1" zoomScale="115" zoomScaleNormal="115" workbookViewId="0">
      <selection activeCell="F29" sqref="F29"/>
    </sheetView>
  </sheetViews>
  <sheetFormatPr defaultRowHeight="14.4" x14ac:dyDescent="0.3"/>
  <cols>
    <col min="1" max="1" width="15.33203125" customWidth="1"/>
    <col min="2" max="2" width="17.88671875" bestFit="1" customWidth="1"/>
    <col min="3" max="3" width="20.33203125" customWidth="1"/>
    <col min="4" max="4" width="17.88671875" bestFit="1" customWidth="1"/>
    <col min="5" max="7" width="19.109375" bestFit="1" customWidth="1"/>
    <col min="8" max="8" width="17.88671875" bestFit="1" customWidth="1"/>
    <col min="9" max="9" width="19.109375" bestFit="1" customWidth="1"/>
    <col min="10" max="10" width="19.109375" customWidth="1"/>
    <col min="11" max="11" width="18.6640625" customWidth="1"/>
    <col min="12" max="12" width="19.109375" customWidth="1"/>
    <col min="13" max="13" width="21.44140625" customWidth="1"/>
  </cols>
  <sheetData>
    <row r="1" spans="1:13" x14ac:dyDescent="0.3">
      <c r="A1" s="14" t="s">
        <v>47</v>
      </c>
      <c r="B1" s="19" t="s">
        <v>48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4"/>
      <c r="B2" s="19" t="s">
        <v>52</v>
      </c>
      <c r="C2" s="19"/>
      <c r="D2" s="19"/>
      <c r="E2" s="19"/>
      <c r="F2" s="19" t="s">
        <v>53</v>
      </c>
      <c r="G2" s="19"/>
      <c r="H2" s="19"/>
      <c r="I2" s="19"/>
      <c r="J2" s="19" t="s">
        <v>54</v>
      </c>
      <c r="K2" s="19"/>
      <c r="L2" s="19"/>
      <c r="M2" s="19"/>
    </row>
    <row r="3" spans="1:13" x14ac:dyDescent="0.3">
      <c r="A3" s="14"/>
      <c r="B3" s="1" t="s">
        <v>49</v>
      </c>
      <c r="C3" s="1" t="s">
        <v>50</v>
      </c>
      <c r="D3" s="1" t="s">
        <v>51</v>
      </c>
      <c r="E3" s="1" t="s">
        <v>6</v>
      </c>
      <c r="F3" s="1" t="s">
        <v>49</v>
      </c>
      <c r="G3" s="1" t="s">
        <v>50</v>
      </c>
      <c r="H3" s="1" t="s">
        <v>51</v>
      </c>
      <c r="I3" s="1" t="s">
        <v>6</v>
      </c>
      <c r="J3" s="1" t="s">
        <v>49</v>
      </c>
      <c r="K3" s="1" t="s">
        <v>50</v>
      </c>
      <c r="L3" s="1" t="s">
        <v>51</v>
      </c>
      <c r="M3" s="1" t="s">
        <v>6</v>
      </c>
    </row>
    <row r="4" spans="1:13" x14ac:dyDescent="0.3">
      <c r="A4" t="s">
        <v>45</v>
      </c>
      <c r="B4" s="8" t="s">
        <v>55</v>
      </c>
      <c r="C4" s="8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</row>
    <row r="5" spans="1:13" x14ac:dyDescent="0.3">
      <c r="A5" t="s">
        <v>46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</row>
    <row r="9" spans="1:13" x14ac:dyDescent="0.3">
      <c r="A9" s="9" t="s">
        <v>79</v>
      </c>
    </row>
    <row r="11" spans="1:13" ht="14.4" customHeight="1" x14ac:dyDescent="0.3">
      <c r="A11" s="18" t="s">
        <v>48</v>
      </c>
      <c r="B11" s="18"/>
      <c r="C11" s="18"/>
      <c r="D11" s="18"/>
      <c r="E11" s="18"/>
      <c r="F11" s="18"/>
      <c r="G11" s="18"/>
      <c r="H11" s="18"/>
      <c r="I11" s="18"/>
    </row>
    <row r="12" spans="1:13" x14ac:dyDescent="0.3">
      <c r="A12" s="16" t="s">
        <v>82</v>
      </c>
      <c r="B12" s="15" t="s">
        <v>52</v>
      </c>
      <c r="C12" s="15"/>
      <c r="D12" s="15"/>
      <c r="E12" s="15"/>
      <c r="F12" s="15" t="s">
        <v>53</v>
      </c>
      <c r="G12" s="15"/>
      <c r="H12" s="15"/>
      <c r="I12" s="15"/>
    </row>
    <row r="13" spans="1:13" x14ac:dyDescent="0.3">
      <c r="A13" s="17"/>
      <c r="B13" s="10" t="s">
        <v>49</v>
      </c>
      <c r="C13" s="10" t="s">
        <v>50</v>
      </c>
      <c r="D13" s="10" t="s">
        <v>51</v>
      </c>
      <c r="E13" s="10" t="s">
        <v>6</v>
      </c>
      <c r="F13" s="10" t="s">
        <v>49</v>
      </c>
      <c r="G13" s="10" t="s">
        <v>50</v>
      </c>
      <c r="H13" s="10" t="s">
        <v>51</v>
      </c>
      <c r="I13" s="10" t="s">
        <v>6</v>
      </c>
      <c r="J13" s="1"/>
      <c r="K13" s="1"/>
      <c r="L13" s="1"/>
      <c r="M13" s="1"/>
    </row>
    <row r="14" spans="1:13" x14ac:dyDescent="0.3">
      <c r="A14" s="11" t="s">
        <v>80</v>
      </c>
      <c r="B14" s="12" t="s">
        <v>55</v>
      </c>
      <c r="C14" s="12" t="s">
        <v>56</v>
      </c>
      <c r="D14" s="11" t="s">
        <v>57</v>
      </c>
      <c r="E14" s="13" t="s">
        <v>58</v>
      </c>
      <c r="F14" s="13" t="s">
        <v>59</v>
      </c>
      <c r="G14" s="13" t="s">
        <v>60</v>
      </c>
      <c r="H14" s="11" t="s">
        <v>61</v>
      </c>
      <c r="I14" s="13" t="s">
        <v>62</v>
      </c>
    </row>
    <row r="15" spans="1:13" x14ac:dyDescent="0.3">
      <c r="A15" s="11" t="s">
        <v>81</v>
      </c>
      <c r="B15" s="11" t="s">
        <v>67</v>
      </c>
      <c r="C15" s="11" t="s">
        <v>68</v>
      </c>
      <c r="D15" s="11" t="s">
        <v>69</v>
      </c>
      <c r="E15" s="11" t="s">
        <v>70</v>
      </c>
      <c r="F15" s="11" t="s">
        <v>71</v>
      </c>
      <c r="G15" s="11" t="s">
        <v>72</v>
      </c>
      <c r="H15" s="11" t="s">
        <v>73</v>
      </c>
      <c r="I15" s="13" t="s">
        <v>74</v>
      </c>
    </row>
    <row r="19" spans="1:5" x14ac:dyDescent="0.3">
      <c r="A19" s="27" t="s">
        <v>52</v>
      </c>
      <c r="B19" s="10" t="s">
        <v>49</v>
      </c>
      <c r="C19" s="10" t="s">
        <v>50</v>
      </c>
      <c r="D19" s="10" t="s">
        <v>51</v>
      </c>
      <c r="E19" s="10" t="s">
        <v>6</v>
      </c>
    </row>
    <row r="20" spans="1:5" x14ac:dyDescent="0.3">
      <c r="A20" s="11" t="s">
        <v>80</v>
      </c>
      <c r="B20" s="12" t="s">
        <v>55</v>
      </c>
      <c r="C20" s="12" t="s">
        <v>56</v>
      </c>
      <c r="D20" s="11" t="s">
        <v>57</v>
      </c>
      <c r="E20" s="13" t="s">
        <v>58</v>
      </c>
    </row>
    <row r="21" spans="1:5" x14ac:dyDescent="0.3">
      <c r="A21" s="11" t="s">
        <v>81</v>
      </c>
      <c r="B21" s="11" t="s">
        <v>67</v>
      </c>
      <c r="C21" s="11" t="s">
        <v>68</v>
      </c>
      <c r="D21" s="11" t="s">
        <v>69</v>
      </c>
      <c r="E21" s="11" t="s">
        <v>70</v>
      </c>
    </row>
    <row r="23" spans="1:5" x14ac:dyDescent="0.3">
      <c r="A23" s="27" t="s">
        <v>53</v>
      </c>
      <c r="B23" s="10" t="s">
        <v>49</v>
      </c>
      <c r="C23" s="10" t="s">
        <v>50</v>
      </c>
      <c r="D23" s="10" t="s">
        <v>51</v>
      </c>
      <c r="E23" s="10" t="s">
        <v>6</v>
      </c>
    </row>
    <row r="24" spans="1:5" x14ac:dyDescent="0.3">
      <c r="A24" s="11" t="s">
        <v>80</v>
      </c>
      <c r="B24" s="13" t="s">
        <v>59</v>
      </c>
      <c r="C24" s="13" t="s">
        <v>60</v>
      </c>
      <c r="D24" s="11" t="s">
        <v>61</v>
      </c>
      <c r="E24" s="13" t="s">
        <v>62</v>
      </c>
    </row>
    <row r="25" spans="1:5" x14ac:dyDescent="0.3">
      <c r="A25" s="11" t="s">
        <v>81</v>
      </c>
      <c r="B25" s="11" t="s">
        <v>71</v>
      </c>
      <c r="C25" s="11" t="s">
        <v>72</v>
      </c>
      <c r="D25" s="11" t="s">
        <v>73</v>
      </c>
      <c r="E25" s="13" t="s">
        <v>74</v>
      </c>
    </row>
  </sheetData>
  <mergeCells count="9">
    <mergeCell ref="J2:M2"/>
    <mergeCell ref="B1:M1"/>
    <mergeCell ref="A1:A3"/>
    <mergeCell ref="B12:E12"/>
    <mergeCell ref="F12:I12"/>
    <mergeCell ref="A12:A13"/>
    <mergeCell ref="A11:I11"/>
    <mergeCell ref="B2:E2"/>
    <mergeCell ref="F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E5BB-772B-4F31-9B98-443F66C83429}">
  <dimension ref="A1:M38"/>
  <sheetViews>
    <sheetView topLeftCell="B1" zoomScale="85" zoomScaleNormal="85" workbookViewId="0">
      <selection activeCell="L34" sqref="L34"/>
    </sheetView>
  </sheetViews>
  <sheetFormatPr defaultRowHeight="14.4" x14ac:dyDescent="0.3"/>
  <cols>
    <col min="2" max="3" width="15.33203125" customWidth="1"/>
    <col min="4" max="4" width="22" customWidth="1"/>
    <col min="5" max="5" width="15.33203125" customWidth="1"/>
    <col min="6" max="6" width="15.21875" customWidth="1"/>
    <col min="7" max="7" width="23" customWidth="1"/>
    <col min="8" max="8" width="14.6640625" customWidth="1"/>
    <col min="9" max="9" width="19.77734375" customWidth="1"/>
    <col min="10" max="10" width="23" customWidth="1"/>
    <col min="11" max="11" width="16.21875" customWidth="1"/>
    <col min="12" max="12" width="17.21875" customWidth="1"/>
    <col min="13" max="13" width="24.77734375" customWidth="1"/>
  </cols>
  <sheetData>
    <row r="1" spans="1:13" x14ac:dyDescent="0.3">
      <c r="A1" s="14" t="s">
        <v>0</v>
      </c>
      <c r="B1" s="21" t="s">
        <v>3</v>
      </c>
      <c r="C1" s="21"/>
      <c r="D1" s="20" t="s">
        <v>7</v>
      </c>
      <c r="E1" s="21" t="s">
        <v>4</v>
      </c>
      <c r="F1" s="21"/>
      <c r="G1" s="20" t="s">
        <v>7</v>
      </c>
      <c r="H1" s="21" t="s">
        <v>5</v>
      </c>
      <c r="I1" s="21"/>
      <c r="J1" s="20" t="s">
        <v>7</v>
      </c>
      <c r="K1" s="21" t="s">
        <v>6</v>
      </c>
      <c r="L1" s="21"/>
      <c r="M1" s="20" t="s">
        <v>7</v>
      </c>
    </row>
    <row r="2" spans="1:13" x14ac:dyDescent="0.3">
      <c r="A2" s="14"/>
      <c r="B2" s="2" t="s">
        <v>2</v>
      </c>
      <c r="C2" s="5" t="s">
        <v>1</v>
      </c>
      <c r="D2" s="20"/>
      <c r="E2" s="2" t="s">
        <v>2</v>
      </c>
      <c r="F2" s="5" t="s">
        <v>1</v>
      </c>
      <c r="G2" s="20"/>
      <c r="H2" s="2" t="s">
        <v>2</v>
      </c>
      <c r="I2" s="5" t="s">
        <v>1</v>
      </c>
      <c r="J2" s="20"/>
      <c r="K2" s="2" t="s">
        <v>2</v>
      </c>
      <c r="L2" s="5" t="s">
        <v>1</v>
      </c>
      <c r="M2" s="20"/>
    </row>
    <row r="3" spans="1:13" x14ac:dyDescent="0.3">
      <c r="A3">
        <v>0</v>
      </c>
      <c r="B3" s="4">
        <v>6.6363269090653034</v>
      </c>
      <c r="C3" s="3">
        <v>6.2599799047755056</v>
      </c>
      <c r="D3">
        <f>ABS(B3-C3)</f>
        <v>0.37634700428979784</v>
      </c>
      <c r="E3" s="4">
        <v>6.0622859001159988</v>
      </c>
      <c r="F3" s="3">
        <v>5.6668496371240842</v>
      </c>
      <c r="G3">
        <f>ABS(E3-F3)</f>
        <v>0.39543626299191459</v>
      </c>
      <c r="H3" s="4">
        <v>6.2883585691452026</v>
      </c>
      <c r="I3" s="3">
        <v>5.9115371936530838</v>
      </c>
      <c r="J3">
        <f>ABS(H3-I3)</f>
        <v>0.3768213754921188</v>
      </c>
      <c r="K3" s="4">
        <v>12.1370494365692</v>
      </c>
      <c r="L3" s="3">
        <v>12.256221154320929</v>
      </c>
      <c r="M3">
        <f>ABS(K3-L3)</f>
        <v>0.11917171775172974</v>
      </c>
    </row>
    <row r="4" spans="1:13" x14ac:dyDescent="0.3">
      <c r="A4">
        <v>15</v>
      </c>
      <c r="B4" s="4">
        <v>6.3305389881133998</v>
      </c>
      <c r="C4" s="3">
        <v>5.8498658594515716</v>
      </c>
      <c r="D4">
        <f t="shared" ref="D4:D26" si="0">ABS(B4-C4)</f>
        <v>0.48067312866182821</v>
      </c>
      <c r="E4" s="4">
        <v>5.8052498102187968</v>
      </c>
      <c r="F4" s="3">
        <v>5.370320884728053</v>
      </c>
      <c r="G4">
        <f t="shared" ref="G4:G26" si="1">ABS(E4-F4)</f>
        <v>0.4349289254907438</v>
      </c>
      <c r="H4" s="4">
        <v>6.4850932359695008</v>
      </c>
      <c r="I4" s="3">
        <v>6.0420838632957574</v>
      </c>
      <c r="J4">
        <f t="shared" ref="J4:J26" si="2">ABS(H4-I4)</f>
        <v>0.44300937267374341</v>
      </c>
      <c r="K4" s="4">
        <v>12.459976673126199</v>
      </c>
      <c r="L4" s="3">
        <v>12.173815550464401</v>
      </c>
      <c r="M4">
        <f t="shared" ref="M4:M26" si="3">ABS(K4-L4)</f>
        <v>0.28616112266179883</v>
      </c>
    </row>
    <row r="5" spans="1:13" x14ac:dyDescent="0.3">
      <c r="A5">
        <v>30</v>
      </c>
      <c r="B5" s="4">
        <v>5.9564888477325013</v>
      </c>
      <c r="C5" s="3">
        <v>5.4485311669520158</v>
      </c>
      <c r="D5">
        <f t="shared" si="0"/>
        <v>0.50795768078048553</v>
      </c>
      <c r="E5" s="4">
        <v>5.6009244918822993</v>
      </c>
      <c r="F5" s="3">
        <v>5.0976116832003706</v>
      </c>
      <c r="G5">
        <f t="shared" si="1"/>
        <v>0.50331280868192874</v>
      </c>
      <c r="H5" s="4">
        <v>6.2417632341384994</v>
      </c>
      <c r="I5" s="3">
        <v>5.7995085003199822</v>
      </c>
      <c r="J5">
        <f t="shared" si="2"/>
        <v>0.44225473381851721</v>
      </c>
      <c r="K5" s="4">
        <v>13.052996993064902</v>
      </c>
      <c r="L5" s="3">
        <v>12.1691255429189</v>
      </c>
      <c r="M5">
        <f t="shared" si="3"/>
        <v>0.88387145014600144</v>
      </c>
    </row>
    <row r="6" spans="1:13" x14ac:dyDescent="0.3">
      <c r="A6">
        <v>45</v>
      </c>
      <c r="B6" s="4">
        <v>5.7098060846328984</v>
      </c>
      <c r="C6" s="3">
        <v>5.1239500306781869</v>
      </c>
      <c r="D6">
        <f t="shared" si="0"/>
        <v>0.58585605395471152</v>
      </c>
      <c r="E6" s="4">
        <v>5.479372143745401</v>
      </c>
      <c r="F6" s="3">
        <v>4.8812800389673399</v>
      </c>
      <c r="G6">
        <f t="shared" si="1"/>
        <v>0.59809210477806118</v>
      </c>
      <c r="H6" s="4">
        <v>5.9590798616409977</v>
      </c>
      <c r="I6" s="3">
        <v>5.3967147125556343</v>
      </c>
      <c r="J6">
        <f t="shared" si="2"/>
        <v>0.56236514908536339</v>
      </c>
      <c r="K6" s="4">
        <v>13.819089531898502</v>
      </c>
      <c r="L6" s="3">
        <v>12.116509007129199</v>
      </c>
      <c r="M6">
        <f t="shared" si="3"/>
        <v>1.7025805247693029</v>
      </c>
    </row>
    <row r="7" spans="1:13" x14ac:dyDescent="0.3">
      <c r="A7">
        <v>60</v>
      </c>
      <c r="B7" s="4">
        <v>5.514541268348701</v>
      </c>
      <c r="C7" s="3">
        <v>4.8906870763790664</v>
      </c>
      <c r="D7">
        <f t="shared" si="0"/>
        <v>0.62385419196963454</v>
      </c>
      <c r="E7" s="4">
        <v>5.3979939222334998</v>
      </c>
      <c r="F7" s="3">
        <v>4.7636729723927491</v>
      </c>
      <c r="G7">
        <f t="shared" si="1"/>
        <v>0.63432094984075071</v>
      </c>
      <c r="H7" s="4">
        <v>5.6268346309662007</v>
      </c>
      <c r="I7" s="3">
        <v>5.0189742279847369</v>
      </c>
      <c r="J7">
        <f t="shared" si="2"/>
        <v>0.60786040298146382</v>
      </c>
      <c r="K7" s="4">
        <v>14.455293416976897</v>
      </c>
      <c r="L7" s="3">
        <v>11.901237299356589</v>
      </c>
      <c r="M7">
        <f t="shared" si="3"/>
        <v>2.5540561176203074</v>
      </c>
    </row>
    <row r="8" spans="1:13" x14ac:dyDescent="0.3">
      <c r="A8">
        <v>75</v>
      </c>
      <c r="B8" s="4">
        <v>5.4097312688828012</v>
      </c>
      <c r="C8" s="3">
        <v>4.7610751589407192</v>
      </c>
      <c r="D8">
        <f t="shared" si="0"/>
        <v>0.648656109942082</v>
      </c>
      <c r="E8" s="4">
        <v>5.4275733232497991</v>
      </c>
      <c r="F8" s="3">
        <v>4.7727366305319627</v>
      </c>
      <c r="G8">
        <f t="shared" si="1"/>
        <v>0.6548366927178364</v>
      </c>
      <c r="H8" s="4">
        <v>5.5226737260818979</v>
      </c>
      <c r="I8" s="3">
        <v>4.9084911420610968</v>
      </c>
      <c r="J8">
        <f t="shared" si="2"/>
        <v>0.61418258402080106</v>
      </c>
      <c r="K8" s="4">
        <v>15.1818877458572</v>
      </c>
      <c r="L8" s="3">
        <v>11.708029532187689</v>
      </c>
      <c r="M8">
        <f t="shared" si="3"/>
        <v>3.4738582136695104</v>
      </c>
    </row>
    <row r="9" spans="1:13" x14ac:dyDescent="0.3">
      <c r="A9">
        <v>90</v>
      </c>
      <c r="B9" s="4">
        <v>5.3371882438658993</v>
      </c>
      <c r="C9" s="3">
        <v>4.7484967205125921</v>
      </c>
      <c r="D9">
        <f t="shared" si="0"/>
        <v>0.58869152335330721</v>
      </c>
      <c r="E9" s="4">
        <v>5.5351620912551986</v>
      </c>
      <c r="F9" s="3">
        <v>4.9057824361736344</v>
      </c>
      <c r="G9">
        <f t="shared" si="1"/>
        <v>0.62937965508156424</v>
      </c>
      <c r="H9" s="4">
        <v>5.5854749679565003</v>
      </c>
      <c r="I9" s="3">
        <v>4.998573990143468</v>
      </c>
      <c r="J9">
        <f t="shared" si="2"/>
        <v>0.5869009778130323</v>
      </c>
      <c r="K9" s="4">
        <v>15.932085514068596</v>
      </c>
      <c r="L9" s="3">
        <v>11.37543951931235</v>
      </c>
      <c r="M9">
        <f t="shared" si="3"/>
        <v>4.5566459947562468</v>
      </c>
    </row>
    <row r="10" spans="1:13" x14ac:dyDescent="0.3">
      <c r="A10">
        <f>15+A9</f>
        <v>105</v>
      </c>
      <c r="B10" s="4">
        <v>5.4079556465148961</v>
      </c>
      <c r="C10" s="3">
        <v>4.7960323158316758</v>
      </c>
      <c r="D10">
        <f t="shared" si="0"/>
        <v>0.61192333068322036</v>
      </c>
      <c r="E10" s="4">
        <v>5.7700538635253977</v>
      </c>
      <c r="F10" s="3">
        <v>5.1544865545494263</v>
      </c>
      <c r="G10">
        <f t="shared" si="1"/>
        <v>0.61556730897597145</v>
      </c>
      <c r="H10" s="4">
        <v>5.8539479970932007</v>
      </c>
      <c r="I10" s="3">
        <v>5.2053567147292616</v>
      </c>
      <c r="J10">
        <f t="shared" si="2"/>
        <v>0.64859128236393904</v>
      </c>
      <c r="K10" s="4">
        <v>16.724174022674504</v>
      </c>
      <c r="L10" s="3">
        <v>11.404314358127261</v>
      </c>
      <c r="M10">
        <f t="shared" si="3"/>
        <v>5.3198596645472431</v>
      </c>
    </row>
    <row r="11" spans="1:13" x14ac:dyDescent="0.3">
      <c r="A11">
        <f t="shared" ref="A11:A25" si="4">15+A10</f>
        <v>120</v>
      </c>
      <c r="B11" s="4">
        <v>5.5145466327666988</v>
      </c>
      <c r="C11" s="3">
        <v>4.9027669025308089</v>
      </c>
      <c r="D11">
        <f t="shared" si="0"/>
        <v>0.61177973023588983</v>
      </c>
      <c r="E11" s="4">
        <v>6.129721999168396</v>
      </c>
      <c r="F11" s="3">
        <v>5.4872775320192577</v>
      </c>
      <c r="G11">
        <f t="shared" si="1"/>
        <v>0.64244446714913828</v>
      </c>
      <c r="H11" s="4">
        <v>6.0897678136824993</v>
      </c>
      <c r="I11" s="3">
        <v>5.4937565719745827</v>
      </c>
      <c r="J11">
        <f t="shared" si="2"/>
        <v>0.59601124170791664</v>
      </c>
      <c r="K11" s="4">
        <v>17.575587630271897</v>
      </c>
      <c r="L11" s="3">
        <v>11.601874845258569</v>
      </c>
      <c r="M11">
        <f t="shared" si="3"/>
        <v>5.973712785013328</v>
      </c>
    </row>
    <row r="12" spans="1:13" x14ac:dyDescent="0.3">
      <c r="A12">
        <f t="shared" si="4"/>
        <v>135</v>
      </c>
      <c r="B12" s="4">
        <v>5.7452917098998988</v>
      </c>
      <c r="C12" s="3">
        <v>5.1253884005983092</v>
      </c>
      <c r="D12">
        <f t="shared" si="0"/>
        <v>0.61990330930158954</v>
      </c>
      <c r="E12" s="4">
        <v>6.5030157566071018</v>
      </c>
      <c r="F12" s="3">
        <v>5.9016156660240977</v>
      </c>
      <c r="G12">
        <f t="shared" si="1"/>
        <v>0.60140009058300414</v>
      </c>
      <c r="H12" s="4">
        <v>6.4113914966583003</v>
      </c>
      <c r="I12" s="3">
        <v>5.8096999838048031</v>
      </c>
      <c r="J12">
        <f t="shared" si="2"/>
        <v>0.6016915128534972</v>
      </c>
      <c r="K12" s="4">
        <v>18.502821922302203</v>
      </c>
      <c r="L12" s="3">
        <v>12.05600599409855</v>
      </c>
      <c r="M12">
        <f t="shared" si="3"/>
        <v>6.4468159282036535</v>
      </c>
    </row>
    <row r="13" spans="1:13" x14ac:dyDescent="0.3">
      <c r="A13">
        <f t="shared" si="4"/>
        <v>150</v>
      </c>
      <c r="B13" s="4">
        <v>5.9118247032166025</v>
      </c>
      <c r="C13" s="3">
        <v>5.385673988154724</v>
      </c>
      <c r="D13">
        <f t="shared" si="0"/>
        <v>0.52615071506187849</v>
      </c>
      <c r="E13" s="4">
        <v>6.8546533584595011</v>
      </c>
      <c r="F13" s="3">
        <v>6.3631781669744107</v>
      </c>
      <c r="G13">
        <f t="shared" si="1"/>
        <v>0.49147519148509033</v>
      </c>
      <c r="H13" s="4">
        <v>6.5883153676987014</v>
      </c>
      <c r="I13" s="3">
        <v>6.0315539729759502</v>
      </c>
      <c r="J13">
        <f t="shared" si="2"/>
        <v>0.55676139472275121</v>
      </c>
      <c r="K13" s="4">
        <v>18.984584212303197</v>
      </c>
      <c r="L13" s="3">
        <v>12.37848166536936</v>
      </c>
      <c r="M13">
        <f t="shared" si="3"/>
        <v>6.6061025469338368</v>
      </c>
    </row>
    <row r="14" spans="1:13" x14ac:dyDescent="0.3">
      <c r="A14">
        <f t="shared" si="4"/>
        <v>165</v>
      </c>
      <c r="B14" s="4">
        <v>6.2352776527404963</v>
      </c>
      <c r="C14" s="3">
        <v>5.7536427353352737</v>
      </c>
      <c r="D14">
        <f t="shared" si="0"/>
        <v>0.48163491740522257</v>
      </c>
      <c r="E14" s="4">
        <v>7.2714149951935028</v>
      </c>
      <c r="F14" s="3">
        <v>6.8443713848562009</v>
      </c>
      <c r="G14">
        <f t="shared" si="1"/>
        <v>0.42704361033730187</v>
      </c>
      <c r="H14" s="4">
        <v>6.4871853590012023</v>
      </c>
      <c r="I14" s="3">
        <v>6.0411594107837594</v>
      </c>
      <c r="J14">
        <f t="shared" si="2"/>
        <v>0.4460259482174429</v>
      </c>
      <c r="K14" s="4">
        <v>19.4206094741821</v>
      </c>
      <c r="L14" s="3">
        <v>12.771238329282941</v>
      </c>
      <c r="M14">
        <f t="shared" si="3"/>
        <v>6.6493711448991597</v>
      </c>
    </row>
    <row r="15" spans="1:13" x14ac:dyDescent="0.3">
      <c r="A15">
        <f t="shared" si="4"/>
        <v>180</v>
      </c>
      <c r="B15" s="4">
        <v>6.5273487567901007</v>
      </c>
      <c r="C15" s="3">
        <v>6.0788026798424299</v>
      </c>
      <c r="D15">
        <f t="shared" si="0"/>
        <v>0.44854607694767079</v>
      </c>
      <c r="E15" s="4">
        <v>7.5804483890533021</v>
      </c>
      <c r="F15" s="3">
        <v>7.1727411860233934</v>
      </c>
      <c r="G15">
        <f t="shared" si="1"/>
        <v>0.4077072030299087</v>
      </c>
      <c r="H15" s="4">
        <v>6.2585377693175985</v>
      </c>
      <c r="I15" s="3">
        <v>5.8319430864750688</v>
      </c>
      <c r="J15">
        <f t="shared" si="2"/>
        <v>0.42659468284252977</v>
      </c>
      <c r="K15" s="4">
        <v>19.233659505844201</v>
      </c>
      <c r="L15" s="3">
        <v>12.824002081808279</v>
      </c>
      <c r="M15">
        <f t="shared" si="3"/>
        <v>6.4096574240359221</v>
      </c>
    </row>
    <row r="16" spans="1:13" x14ac:dyDescent="0.3">
      <c r="A16">
        <f t="shared" si="4"/>
        <v>195</v>
      </c>
      <c r="B16" s="4">
        <v>6.8104398250579017</v>
      </c>
      <c r="C16" s="3">
        <v>6.3434951847993313</v>
      </c>
      <c r="D16">
        <f t="shared" si="0"/>
        <v>0.46694464025857041</v>
      </c>
      <c r="E16" s="4">
        <v>7.7598345279693035</v>
      </c>
      <c r="F16" s="3">
        <v>7.3262067934619193</v>
      </c>
      <c r="G16">
        <f t="shared" si="1"/>
        <v>0.43362773450738423</v>
      </c>
      <c r="H16" s="4">
        <v>5.8792519569397008</v>
      </c>
      <c r="I16" s="3">
        <v>5.4097354306775447</v>
      </c>
      <c r="J16">
        <f t="shared" si="2"/>
        <v>0.46951652626215612</v>
      </c>
      <c r="K16" s="4">
        <v>18.716958761215203</v>
      </c>
      <c r="L16" s="3">
        <v>13.26017100546172</v>
      </c>
      <c r="M16">
        <f t="shared" si="3"/>
        <v>5.4567877557534832</v>
      </c>
    </row>
    <row r="17" spans="1:13" x14ac:dyDescent="0.3">
      <c r="A17">
        <f t="shared" si="4"/>
        <v>210</v>
      </c>
      <c r="B17" s="4">
        <v>6.9422596693038976</v>
      </c>
      <c r="C17" s="3">
        <v>6.4526657567199814</v>
      </c>
      <c r="D17">
        <f t="shared" si="0"/>
        <v>0.48959391258391616</v>
      </c>
      <c r="E17" s="4">
        <v>7.8041714429856022</v>
      </c>
      <c r="F17" s="3">
        <v>7.2962977743128983</v>
      </c>
      <c r="G17">
        <f t="shared" si="1"/>
        <v>0.50787366867270389</v>
      </c>
      <c r="H17" s="4">
        <v>5.4507690668105973</v>
      </c>
      <c r="I17" s="3">
        <v>4.9229484116742368</v>
      </c>
      <c r="J17">
        <f t="shared" si="2"/>
        <v>0.52782065513636045</v>
      </c>
      <c r="K17" s="4">
        <v>17.911400198936498</v>
      </c>
      <c r="L17" s="3">
        <v>13.352299959021041</v>
      </c>
      <c r="M17">
        <f t="shared" si="3"/>
        <v>4.5591002399154572</v>
      </c>
    </row>
    <row r="18" spans="1:13" x14ac:dyDescent="0.3">
      <c r="A18">
        <f t="shared" si="4"/>
        <v>225</v>
      </c>
      <c r="B18" s="4">
        <v>7.1620291471481039</v>
      </c>
      <c r="C18" s="3">
        <v>6.5601241361809226</v>
      </c>
      <c r="D18">
        <f t="shared" si="0"/>
        <v>0.6019050109671813</v>
      </c>
      <c r="E18" s="4">
        <v>7.7934962511063013</v>
      </c>
      <c r="F18" s="3">
        <v>7.2236292259842907</v>
      </c>
      <c r="G18">
        <f t="shared" si="1"/>
        <v>0.5698670251220106</v>
      </c>
      <c r="H18" s="4">
        <v>4.9871385097502987</v>
      </c>
      <c r="I18" s="3">
        <v>4.4503795062310543</v>
      </c>
      <c r="J18">
        <f t="shared" si="2"/>
        <v>0.53675900351924444</v>
      </c>
      <c r="K18" s="4">
        <v>16.772990226745598</v>
      </c>
      <c r="L18" s="3">
        <v>13.582488767249741</v>
      </c>
      <c r="M18">
        <f t="shared" si="3"/>
        <v>3.1905014594958576</v>
      </c>
    </row>
    <row r="19" spans="1:13" x14ac:dyDescent="0.3">
      <c r="A19">
        <f t="shared" si="4"/>
        <v>240</v>
      </c>
      <c r="B19" s="4">
        <v>7.1834868192673014</v>
      </c>
      <c r="C19" s="3">
        <v>6.6067414695910891</v>
      </c>
      <c r="D19">
        <f t="shared" si="0"/>
        <v>0.57674534967621227</v>
      </c>
      <c r="E19" s="4">
        <v>7.6943027973176008</v>
      </c>
      <c r="F19" s="3">
        <v>7.0594195166147191</v>
      </c>
      <c r="G19">
        <f t="shared" si="1"/>
        <v>0.63488328070288169</v>
      </c>
      <c r="H19" s="4">
        <v>4.7486311197281026</v>
      </c>
      <c r="I19" s="3">
        <v>4.1265162941509512</v>
      </c>
      <c r="J19">
        <f t="shared" si="2"/>
        <v>0.62211482557715136</v>
      </c>
      <c r="K19" s="4">
        <v>15.696802139282205</v>
      </c>
      <c r="L19" s="3">
        <v>13.68442080487986</v>
      </c>
      <c r="M19">
        <f t="shared" si="3"/>
        <v>2.0123813344023453</v>
      </c>
    </row>
    <row r="20" spans="1:13" x14ac:dyDescent="0.3">
      <c r="A20">
        <f t="shared" si="4"/>
        <v>255</v>
      </c>
      <c r="B20" s="4">
        <v>7.1619755029677989</v>
      </c>
      <c r="C20" s="3">
        <v>6.5593789371883719</v>
      </c>
      <c r="D20">
        <f t="shared" si="0"/>
        <v>0.602596565779427</v>
      </c>
      <c r="E20" s="4">
        <v>7.4424809217453003</v>
      </c>
      <c r="F20" s="3">
        <v>6.837246112104638</v>
      </c>
      <c r="G20">
        <f t="shared" si="1"/>
        <v>0.60523480964066234</v>
      </c>
      <c r="H20" s="4">
        <v>4.5837503671646012</v>
      </c>
      <c r="I20" s="3">
        <v>3.9925650716877201</v>
      </c>
      <c r="J20">
        <f t="shared" si="2"/>
        <v>0.59118529547688103</v>
      </c>
      <c r="K20" s="4">
        <v>14.586142301559399</v>
      </c>
      <c r="L20" s="3">
        <v>13.579530140483129</v>
      </c>
      <c r="M20">
        <f t="shared" si="3"/>
        <v>1.0066121610762693</v>
      </c>
    </row>
    <row r="21" spans="1:13" x14ac:dyDescent="0.3">
      <c r="A21">
        <f>15+A20</f>
        <v>270</v>
      </c>
      <c r="B21" s="4">
        <v>7.0571601390839049</v>
      </c>
      <c r="C21" s="3">
        <v>6.495410330893316</v>
      </c>
      <c r="D21">
        <f t="shared" si="0"/>
        <v>0.56174980819058895</v>
      </c>
      <c r="E21" s="4">
        <v>7.2105288505553986</v>
      </c>
      <c r="F21" s="3">
        <v>6.6377296741286704</v>
      </c>
      <c r="G21">
        <f t="shared" si="1"/>
        <v>0.57279917642672817</v>
      </c>
      <c r="H21" s="4">
        <v>4.543892741203301</v>
      </c>
      <c r="I21" s="3">
        <v>3.917858000001901</v>
      </c>
      <c r="J21">
        <f t="shared" si="2"/>
        <v>0.62603474120140001</v>
      </c>
      <c r="K21" s="4">
        <v>13.888440728187504</v>
      </c>
      <c r="L21" s="3">
        <v>13.05970372479695</v>
      </c>
      <c r="M21">
        <f t="shared" si="3"/>
        <v>0.82873700339055389</v>
      </c>
    </row>
    <row r="22" spans="1:13" x14ac:dyDescent="0.3">
      <c r="A22">
        <f t="shared" si="4"/>
        <v>285</v>
      </c>
      <c r="B22" s="4">
        <v>7.0521283149719025</v>
      </c>
      <c r="C22" s="3">
        <v>6.481007473948841</v>
      </c>
      <c r="D22">
        <f t="shared" si="0"/>
        <v>0.57112084102306149</v>
      </c>
      <c r="E22" s="4">
        <v>7.0741063356400034</v>
      </c>
      <c r="F22" s="3">
        <v>6.4803139117261566</v>
      </c>
      <c r="G22">
        <f t="shared" si="1"/>
        <v>0.59379242391384679</v>
      </c>
      <c r="H22" s="4">
        <v>4.5959275960922952</v>
      </c>
      <c r="I22" s="3">
        <v>4.0026953826010931</v>
      </c>
      <c r="J22">
        <f t="shared" si="2"/>
        <v>0.59323221349120203</v>
      </c>
      <c r="K22" s="4">
        <v>13.074476122856197</v>
      </c>
      <c r="L22" s="3">
        <v>12.896621134959659</v>
      </c>
      <c r="M22">
        <f t="shared" si="3"/>
        <v>0.17785498789653786</v>
      </c>
    </row>
    <row r="23" spans="1:13" x14ac:dyDescent="0.3">
      <c r="A23">
        <f>15+A22</f>
        <v>300</v>
      </c>
      <c r="B23" s="4">
        <v>7.1450346708298014</v>
      </c>
      <c r="C23" s="3">
        <v>6.5582892264357397</v>
      </c>
      <c r="D23">
        <f t="shared" si="0"/>
        <v>0.58674544439406162</v>
      </c>
      <c r="E23" s="4">
        <v>6.9253242015838055</v>
      </c>
      <c r="F23" s="3">
        <v>6.3561523847526518</v>
      </c>
      <c r="G23">
        <f t="shared" si="1"/>
        <v>0.5691718168311537</v>
      </c>
      <c r="H23" s="4">
        <v>4.8765778541565012</v>
      </c>
      <c r="I23" s="3">
        <v>4.2679946802517366</v>
      </c>
      <c r="J23">
        <f t="shared" si="2"/>
        <v>0.60858317390476468</v>
      </c>
      <c r="K23" s="4">
        <v>12.615657448768701</v>
      </c>
      <c r="L23" s="3">
        <v>12.653505729359919</v>
      </c>
      <c r="M23">
        <f t="shared" si="3"/>
        <v>3.7848280591218142E-2</v>
      </c>
    </row>
    <row r="24" spans="1:13" x14ac:dyDescent="0.3">
      <c r="A24">
        <f t="shared" si="4"/>
        <v>315</v>
      </c>
      <c r="B24" s="4">
        <v>7.1957820653916045</v>
      </c>
      <c r="C24" s="3">
        <v>6.6205188613905932</v>
      </c>
      <c r="D24">
        <f t="shared" si="0"/>
        <v>0.57526320400101127</v>
      </c>
      <c r="E24" s="4">
        <v>6.7707216739653973</v>
      </c>
      <c r="F24" s="3">
        <v>6.2297803106890006</v>
      </c>
      <c r="G24">
        <f t="shared" si="1"/>
        <v>0.54094136327639664</v>
      </c>
      <c r="H24" s="4">
        <v>5.2106308937072967</v>
      </c>
      <c r="I24" s="3">
        <v>4.6719514387978256</v>
      </c>
      <c r="J24">
        <f t="shared" si="2"/>
        <v>0.53867945490947111</v>
      </c>
      <c r="K24" s="4">
        <v>12.137939929962197</v>
      </c>
      <c r="L24" s="3">
        <v>12.619376229737581</v>
      </c>
      <c r="M24">
        <f t="shared" si="3"/>
        <v>0.4814362997753836</v>
      </c>
    </row>
    <row r="25" spans="1:13" x14ac:dyDescent="0.3">
      <c r="A25">
        <f t="shared" si="4"/>
        <v>330</v>
      </c>
      <c r="B25" s="4">
        <v>7.1432214975356985</v>
      </c>
      <c r="C25" s="3">
        <v>6.6358115625675831</v>
      </c>
      <c r="D25">
        <f t="shared" si="0"/>
        <v>0.50740993496811537</v>
      </c>
      <c r="E25" s="4">
        <v>6.5739172697066977</v>
      </c>
      <c r="F25" s="3">
        <v>6.0454859014495863</v>
      </c>
      <c r="G25">
        <f t="shared" si="1"/>
        <v>0.52843136825711134</v>
      </c>
      <c r="H25" s="4">
        <v>5.5580735206604004</v>
      </c>
      <c r="I25" s="3">
        <v>5.0393076656976517</v>
      </c>
      <c r="J25">
        <f t="shared" si="2"/>
        <v>0.51876585496274874</v>
      </c>
      <c r="K25" s="4">
        <v>11.975977420806899</v>
      </c>
      <c r="L25" s="3">
        <v>12.4693511606136</v>
      </c>
      <c r="M25">
        <f t="shared" si="3"/>
        <v>0.49337373980670129</v>
      </c>
    </row>
    <row r="26" spans="1:13" x14ac:dyDescent="0.3">
      <c r="A26">
        <f>15+A25</f>
        <v>345</v>
      </c>
      <c r="B26" s="4">
        <v>6.9647097587585023</v>
      </c>
      <c r="C26" s="3">
        <v>6.5120192494078788</v>
      </c>
      <c r="D26">
        <f t="shared" si="0"/>
        <v>0.45269050935062349</v>
      </c>
      <c r="E26" s="4">
        <v>6.3102614879608012</v>
      </c>
      <c r="F26" s="3">
        <v>5.8708754553816931</v>
      </c>
      <c r="G26">
        <f t="shared" si="1"/>
        <v>0.43938603257910813</v>
      </c>
      <c r="H26" s="4">
        <v>6.0157173871993948</v>
      </c>
      <c r="I26" s="3">
        <v>5.9065904475458124</v>
      </c>
      <c r="J26">
        <f t="shared" si="2"/>
        <v>0.10912693965358233</v>
      </c>
      <c r="K26" s="4">
        <v>11.953479051590001</v>
      </c>
      <c r="L26" s="3">
        <v>12.37299069580104</v>
      </c>
      <c r="M26">
        <f t="shared" si="3"/>
        <v>0.41951164421103826</v>
      </c>
    </row>
    <row r="28" spans="1:13" x14ac:dyDescent="0.3">
      <c r="D28" s="1" t="s">
        <v>11</v>
      </c>
      <c r="G28" s="1" t="s">
        <v>12</v>
      </c>
      <c r="J28" s="1" t="s">
        <v>13</v>
      </c>
      <c r="M28" s="1" t="s">
        <v>6</v>
      </c>
    </row>
    <row r="29" spans="1:13" x14ac:dyDescent="0.3">
      <c r="C29" t="s">
        <v>8</v>
      </c>
      <c r="D29" s="7">
        <f>AVERAGE(D3:D26)</f>
        <v>0.54603079140750366</v>
      </c>
      <c r="F29" t="s">
        <v>8</v>
      </c>
      <c r="G29" s="7">
        <f>AVERAGE(G3:G26)</f>
        <v>0.54299808212805012</v>
      </c>
      <c r="I29" t="s">
        <v>8</v>
      </c>
      <c r="J29" s="7">
        <f>AVERAGE(J3:J26)</f>
        <v>0.52712038927866978</v>
      </c>
      <c r="L29" t="s">
        <v>8</v>
      </c>
      <c r="M29" s="7">
        <f>AVERAGE(M3:M26)</f>
        <v>2.9019170642217875</v>
      </c>
    </row>
    <row r="30" spans="1:13" x14ac:dyDescent="0.3">
      <c r="C30" t="s">
        <v>9</v>
      </c>
      <c r="D30" s="7">
        <f>_xlfn.STDEV.P(D3:D26)</f>
        <v>6.8609082428731233E-2</v>
      </c>
      <c r="F30" t="s">
        <v>9</v>
      </c>
      <c r="G30" s="7">
        <f>_xlfn.STDEV.P(G3:G26)</f>
        <v>8.1823619056284491E-2</v>
      </c>
      <c r="I30" t="s">
        <v>9</v>
      </c>
      <c r="J30" s="7">
        <f>_xlfn.STDEV.P(J3:J26)</f>
        <v>0.11377177701248158</v>
      </c>
      <c r="K30" t="s">
        <v>10</v>
      </c>
      <c r="L30" t="s">
        <v>9</v>
      </c>
      <c r="M30" s="7">
        <f>_xlfn.STDEV.P(M3:M26)</f>
        <v>2.4382740395254445</v>
      </c>
    </row>
    <row r="31" spans="1:13" x14ac:dyDescent="0.3">
      <c r="D31" s="8"/>
      <c r="G31" s="8"/>
      <c r="J31" s="8"/>
      <c r="M31" s="8"/>
    </row>
    <row r="32" spans="1:13" x14ac:dyDescent="0.3">
      <c r="C32" t="s">
        <v>14</v>
      </c>
      <c r="D32" s="8">
        <f>AVERAGE(B3:C26)</f>
        <v>6.145946859416525</v>
      </c>
      <c r="F32" t="s">
        <v>14</v>
      </c>
      <c r="G32" s="8">
        <f>AVERAGE(E3:F26)</f>
        <v>6.3442099508211589</v>
      </c>
      <c r="I32" t="s">
        <v>14</v>
      </c>
      <c r="J32" s="8">
        <f>AVERAGE(H3:I26)</f>
        <v>5.396805848809116</v>
      </c>
      <c r="L32" t="s">
        <v>14</v>
      </c>
      <c r="M32" s="8">
        <f>AVERAGE(K3:L26)</f>
        <v>13.89743405502186</v>
      </c>
    </row>
    <row r="33" spans="3:13" x14ac:dyDescent="0.3">
      <c r="C33" t="s">
        <v>15</v>
      </c>
      <c r="D33" s="7">
        <f>D29*100/D32</f>
        <v>8.8844046962576879</v>
      </c>
      <c r="F33" t="s">
        <v>15</v>
      </c>
      <c r="G33" s="7">
        <f>G29*100/G32</f>
        <v>8.5589551155659258</v>
      </c>
      <c r="I33" t="s">
        <v>15</v>
      </c>
      <c r="J33" s="7">
        <f>J29*100/J32</f>
        <v>9.7672661208478821</v>
      </c>
      <c r="L33" t="s">
        <v>15</v>
      </c>
      <c r="M33" s="7">
        <f>M29*100/M32</f>
        <v>20.880955813373156</v>
      </c>
    </row>
    <row r="38" spans="3:13" x14ac:dyDescent="0.3">
      <c r="E38" t="s">
        <v>10</v>
      </c>
    </row>
  </sheetData>
  <mergeCells count="9">
    <mergeCell ref="M1:M2"/>
    <mergeCell ref="B1:C1"/>
    <mergeCell ref="A1:A2"/>
    <mergeCell ref="E1:F1"/>
    <mergeCell ref="H1:I1"/>
    <mergeCell ref="K1:L1"/>
    <mergeCell ref="D1:D2"/>
    <mergeCell ref="G1:G2"/>
    <mergeCell ref="J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497B-4AE9-4908-B07A-9FABB45D5E09}">
  <dimension ref="A1:M33"/>
  <sheetViews>
    <sheetView zoomScale="70" zoomScaleNormal="70" workbookViewId="0">
      <selection activeCell="L37" sqref="L37"/>
    </sheetView>
  </sheetViews>
  <sheetFormatPr defaultRowHeight="14.4" x14ac:dyDescent="0.3"/>
  <cols>
    <col min="2" max="3" width="15.33203125" customWidth="1"/>
    <col min="4" max="4" width="22" customWidth="1"/>
    <col min="5" max="5" width="15.33203125" customWidth="1"/>
    <col min="6" max="6" width="15.21875" customWidth="1"/>
    <col min="7" max="7" width="23" customWidth="1"/>
    <col min="8" max="8" width="14.6640625" customWidth="1"/>
    <col min="9" max="9" width="19.77734375" customWidth="1"/>
    <col min="10" max="10" width="23" customWidth="1"/>
    <col min="11" max="11" width="16.21875" customWidth="1"/>
    <col min="12" max="12" width="17.21875" customWidth="1"/>
    <col min="13" max="13" width="24.77734375" customWidth="1"/>
  </cols>
  <sheetData>
    <row r="1" spans="1:13" x14ac:dyDescent="0.3">
      <c r="A1" s="14" t="s">
        <v>0</v>
      </c>
      <c r="B1" s="21" t="s">
        <v>3</v>
      </c>
      <c r="C1" s="21"/>
      <c r="D1" s="20" t="s">
        <v>7</v>
      </c>
      <c r="E1" s="21" t="s">
        <v>4</v>
      </c>
      <c r="F1" s="21"/>
      <c r="G1" s="20" t="s">
        <v>7</v>
      </c>
      <c r="H1" s="21" t="s">
        <v>5</v>
      </c>
      <c r="I1" s="21"/>
      <c r="J1" s="20" t="s">
        <v>7</v>
      </c>
      <c r="K1" s="21" t="s">
        <v>6</v>
      </c>
      <c r="L1" s="21"/>
      <c r="M1" s="20" t="s">
        <v>7</v>
      </c>
    </row>
    <row r="2" spans="1:13" x14ac:dyDescent="0.3">
      <c r="A2" s="14"/>
      <c r="B2" s="2" t="s">
        <v>2</v>
      </c>
      <c r="C2" s="5" t="s">
        <v>1</v>
      </c>
      <c r="D2" s="20"/>
      <c r="E2" s="2" t="s">
        <v>2</v>
      </c>
      <c r="F2" s="5" t="s">
        <v>1</v>
      </c>
      <c r="G2" s="20"/>
      <c r="H2" s="2" t="s">
        <v>2</v>
      </c>
      <c r="I2" s="5" t="s">
        <v>1</v>
      </c>
      <c r="J2" s="20"/>
      <c r="K2" s="2" t="s">
        <v>2</v>
      </c>
      <c r="L2" s="5" t="s">
        <v>1</v>
      </c>
      <c r="M2" s="20"/>
    </row>
    <row r="3" spans="1:13" x14ac:dyDescent="0.3">
      <c r="A3">
        <v>0</v>
      </c>
      <c r="B3">
        <v>8.6053560487925953</v>
      </c>
      <c r="C3">
        <v>9.9150151100112804</v>
      </c>
      <c r="D3">
        <f>ABS(B3-C3)</f>
        <v>1.3096590612186851</v>
      </c>
      <c r="E3">
        <v>7.2561496868729618</v>
      </c>
      <c r="F3">
        <v>9.1165843803846247</v>
      </c>
      <c r="G3">
        <f>ABS(E3-F3)</f>
        <v>1.8604346935116629</v>
      </c>
      <c r="H3">
        <v>9.2719490639865434</v>
      </c>
      <c r="I3">
        <v>10.16282852706339</v>
      </c>
      <c r="J3">
        <f>ABS(H3-I3)</f>
        <v>0.89087946307684618</v>
      </c>
      <c r="K3">
        <v>5.690945871174331</v>
      </c>
      <c r="L3">
        <v>7.7357384495418886</v>
      </c>
      <c r="M3">
        <f>ABS(K3-L3)</f>
        <v>2.0447925783675576</v>
      </c>
    </row>
    <row r="4" spans="1:13" x14ac:dyDescent="0.3">
      <c r="A4">
        <v>15</v>
      </c>
      <c r="B4">
        <v>8.2384646870195848</v>
      </c>
      <c r="C4">
        <v>9.6736601277557366</v>
      </c>
      <c r="D4">
        <f t="shared" ref="D4:D26" si="0">ABS(B4-C4)</f>
        <v>1.4351954407361518</v>
      </c>
      <c r="E4">
        <v>7.0674730464816067</v>
      </c>
      <c r="F4">
        <v>8.8614930347502803</v>
      </c>
      <c r="G4">
        <f t="shared" ref="G4:G26" si="1">ABS(E4-F4)</f>
        <v>1.7940199882686736</v>
      </c>
      <c r="H4">
        <v>9.4066215679049527</v>
      </c>
      <c r="I4">
        <v>10.51292981168352</v>
      </c>
      <c r="J4">
        <f t="shared" ref="J4:J26" si="2">ABS(H4-I4)</f>
        <v>1.1063082437785674</v>
      </c>
      <c r="K4">
        <v>5.1599240861833113</v>
      </c>
      <c r="L4">
        <v>7.2690070923881702</v>
      </c>
      <c r="M4">
        <f t="shared" ref="M4:M26" si="3">ABS(K4-L4)</f>
        <v>2.1090830062048589</v>
      </c>
    </row>
    <row r="5" spans="1:13" x14ac:dyDescent="0.3">
      <c r="A5">
        <v>30</v>
      </c>
      <c r="B5">
        <v>7.8846056945621976</v>
      </c>
      <c r="C5">
        <v>9.3822522686803076</v>
      </c>
      <c r="D5">
        <f t="shared" si="0"/>
        <v>1.49764657411811</v>
      </c>
      <c r="E5">
        <v>7.0116618648171398</v>
      </c>
      <c r="F5">
        <v>8.54429280466214</v>
      </c>
      <c r="G5">
        <f t="shared" si="1"/>
        <v>1.5326309398450002</v>
      </c>
      <c r="H5">
        <v>9.0284990146756208</v>
      </c>
      <c r="I5">
        <v>10.24301566638718</v>
      </c>
      <c r="J5">
        <f t="shared" si="2"/>
        <v>1.2145166517115591</v>
      </c>
      <c r="K5">
        <v>4.5360662043094679</v>
      </c>
      <c r="L5">
        <v>6.7501770681640529</v>
      </c>
      <c r="M5">
        <f t="shared" si="3"/>
        <v>2.214110863854585</v>
      </c>
    </row>
    <row r="6" spans="1:13" x14ac:dyDescent="0.3">
      <c r="A6">
        <v>45</v>
      </c>
      <c r="B6">
        <v>7.547257468104366</v>
      </c>
      <c r="C6">
        <v>9.2676661000571183</v>
      </c>
      <c r="D6">
        <f t="shared" si="0"/>
        <v>1.7204086319527523</v>
      </c>
      <c r="E6">
        <v>6.725741829723118</v>
      </c>
      <c r="F6">
        <v>8.4268209612317424</v>
      </c>
      <c r="G6">
        <f t="shared" si="1"/>
        <v>1.7010791315086244</v>
      </c>
      <c r="H6">
        <v>8.8188176043331588</v>
      </c>
      <c r="I6">
        <v>9.8587456716603796</v>
      </c>
      <c r="J6">
        <f t="shared" si="2"/>
        <v>1.0399280673272209</v>
      </c>
      <c r="K6">
        <v>4.1286721825599653</v>
      </c>
      <c r="L6">
        <v>6.3965102935934404</v>
      </c>
      <c r="M6">
        <f t="shared" si="3"/>
        <v>2.2678381110334751</v>
      </c>
    </row>
    <row r="7" spans="1:13" x14ac:dyDescent="0.3">
      <c r="A7">
        <v>60</v>
      </c>
      <c r="B7">
        <v>7.2231218218803388</v>
      </c>
      <c r="C7">
        <v>9.291283015141488</v>
      </c>
      <c r="D7">
        <f t="shared" si="0"/>
        <v>2.0681611932611492</v>
      </c>
      <c r="E7">
        <v>6.8294551223516509</v>
      </c>
      <c r="F7">
        <v>8.5420356064147622</v>
      </c>
      <c r="G7">
        <f t="shared" si="1"/>
        <v>1.7125804840631114</v>
      </c>
      <c r="H7">
        <v>8.396618627011776</v>
      </c>
      <c r="I7">
        <v>9.4503808657158395</v>
      </c>
      <c r="J7">
        <f t="shared" si="2"/>
        <v>1.0537622387040635</v>
      </c>
      <c r="K7">
        <v>3.7482921034097627</v>
      </c>
      <c r="L7">
        <v>5.7400473467431086</v>
      </c>
      <c r="M7">
        <f t="shared" si="3"/>
        <v>1.9917552433333459</v>
      </c>
    </row>
    <row r="8" spans="1:13" x14ac:dyDescent="0.3">
      <c r="A8">
        <v>75</v>
      </c>
      <c r="B8">
        <v>7.0967062376439571</v>
      </c>
      <c r="C8">
        <v>9.3585706460954494</v>
      </c>
      <c r="D8">
        <f t="shared" si="0"/>
        <v>2.2618644084514923</v>
      </c>
      <c r="E8">
        <v>6.9277589209377792</v>
      </c>
      <c r="F8">
        <v>8.665236399543625</v>
      </c>
      <c r="G8">
        <f t="shared" si="1"/>
        <v>1.7374774786058458</v>
      </c>
      <c r="H8">
        <v>8.3301622420549375</v>
      </c>
      <c r="I8">
        <v>9.3616661272019446</v>
      </c>
      <c r="J8">
        <f t="shared" si="2"/>
        <v>1.0315038851470071</v>
      </c>
      <c r="K8">
        <v>3.6100971512496436</v>
      </c>
      <c r="L8">
        <v>5.4325752463134007</v>
      </c>
      <c r="M8">
        <f t="shared" si="3"/>
        <v>1.8224780950637571</v>
      </c>
    </row>
    <row r="9" spans="1:13" x14ac:dyDescent="0.3">
      <c r="A9">
        <v>90</v>
      </c>
      <c r="B9">
        <v>7.0920350030064583</v>
      </c>
      <c r="C9">
        <v>9.4537365281403112</v>
      </c>
      <c r="D9">
        <f t="shared" si="0"/>
        <v>2.3617015251338529</v>
      </c>
      <c r="E9">
        <v>7.1384235285222504</v>
      </c>
      <c r="F9">
        <v>8.8216430471852032</v>
      </c>
      <c r="G9">
        <f t="shared" si="1"/>
        <v>1.6832195186629528</v>
      </c>
      <c r="H9">
        <v>8.3163284696638531</v>
      </c>
      <c r="I9">
        <v>9.4762445368486699</v>
      </c>
      <c r="J9">
        <f t="shared" si="2"/>
        <v>1.1599160671848168</v>
      </c>
      <c r="K9">
        <v>3.5028570331633055</v>
      </c>
      <c r="L9">
        <v>4.9470571618942749</v>
      </c>
      <c r="M9">
        <f t="shared" si="3"/>
        <v>1.4442001287309694</v>
      </c>
    </row>
    <row r="10" spans="1:13" x14ac:dyDescent="0.3">
      <c r="A10">
        <f>15+A9</f>
        <v>105</v>
      </c>
      <c r="B10">
        <v>7.166194356977944</v>
      </c>
      <c r="C10">
        <v>9.4506302180410184</v>
      </c>
      <c r="D10">
        <f t="shared" si="0"/>
        <v>2.2844358610630744</v>
      </c>
      <c r="E10">
        <v>7.2120394557714462</v>
      </c>
      <c r="F10">
        <v>8.9649569868111261</v>
      </c>
      <c r="G10">
        <f t="shared" si="1"/>
        <v>1.7529175310396798</v>
      </c>
      <c r="H10">
        <v>8.5762823000550235</v>
      </c>
      <c r="I10">
        <v>9.6818664051151124</v>
      </c>
      <c r="J10">
        <f t="shared" si="2"/>
        <v>1.105584105060089</v>
      </c>
      <c r="K10">
        <v>3.7173599004745461</v>
      </c>
      <c r="L10">
        <v>4.9929013084235558</v>
      </c>
      <c r="M10">
        <f t="shared" si="3"/>
        <v>1.2755414079490097</v>
      </c>
    </row>
    <row r="11" spans="1:13" x14ac:dyDescent="0.3">
      <c r="A11">
        <f t="shared" ref="A11:A25" si="4">15+A10</f>
        <v>120</v>
      </c>
      <c r="B11">
        <v>7.3039270937442806</v>
      </c>
      <c r="C11">
        <v>9.4173774509869883</v>
      </c>
      <c r="D11">
        <f t="shared" si="0"/>
        <v>2.1134503572427077</v>
      </c>
      <c r="E11">
        <v>7.4812261387705847</v>
      </c>
      <c r="F11">
        <v>9.0329531551258953</v>
      </c>
      <c r="G11">
        <f t="shared" si="1"/>
        <v>1.5517270163553105</v>
      </c>
      <c r="H11">
        <v>8.9044950902461988</v>
      </c>
      <c r="I11">
        <v>9.8865475814456065</v>
      </c>
      <c r="J11">
        <f t="shared" si="2"/>
        <v>0.98205249119940774</v>
      </c>
      <c r="K11">
        <v>4.107673186808821</v>
      </c>
      <c r="L11">
        <v>5.0442926369961629</v>
      </c>
      <c r="M11">
        <f t="shared" si="3"/>
        <v>0.93661945018734194</v>
      </c>
    </row>
    <row r="12" spans="1:13" x14ac:dyDescent="0.3">
      <c r="A12">
        <f t="shared" si="4"/>
        <v>135</v>
      </c>
      <c r="B12">
        <v>7.4748510494828233</v>
      </c>
      <c r="C12">
        <v>9.4911204229495247</v>
      </c>
      <c r="D12">
        <f t="shared" si="0"/>
        <v>2.0162693734667014</v>
      </c>
      <c r="E12">
        <v>7.7185261063277713</v>
      </c>
      <c r="F12">
        <v>9.0793017738640671</v>
      </c>
      <c r="G12">
        <f t="shared" si="1"/>
        <v>1.3607756675362959</v>
      </c>
      <c r="H12">
        <v>9.1539745219051802</v>
      </c>
      <c r="I12">
        <v>10.070227602332601</v>
      </c>
      <c r="J12">
        <f t="shared" si="2"/>
        <v>0.91625308042742049</v>
      </c>
      <c r="K12">
        <v>4.5587358064949521</v>
      </c>
      <c r="L12">
        <v>5.0952215575550968</v>
      </c>
      <c r="M12">
        <f t="shared" si="3"/>
        <v>0.53648575106014462</v>
      </c>
    </row>
    <row r="13" spans="1:13" x14ac:dyDescent="0.3">
      <c r="A13">
        <f t="shared" si="4"/>
        <v>150</v>
      </c>
      <c r="B13">
        <v>7.6206409372389343</v>
      </c>
      <c r="C13">
        <v>9.4085988542540306</v>
      </c>
      <c r="D13">
        <f t="shared" si="0"/>
        <v>1.7879579170150963</v>
      </c>
      <c r="E13">
        <v>7.8874301165342366</v>
      </c>
      <c r="F13">
        <v>9.0605420528001215</v>
      </c>
      <c r="G13">
        <f t="shared" si="1"/>
        <v>1.1731119362658848</v>
      </c>
      <c r="H13">
        <v>9.2833960428833944</v>
      </c>
      <c r="I13">
        <v>10.0945707841574</v>
      </c>
      <c r="J13">
        <f t="shared" si="2"/>
        <v>0.81117474127400513</v>
      </c>
      <c r="K13">
        <v>4.8820303753018361</v>
      </c>
      <c r="L13">
        <v>5.1008052717702412</v>
      </c>
      <c r="M13">
        <f t="shared" si="3"/>
        <v>0.21877489646840509</v>
      </c>
    </row>
    <row r="14" spans="1:13" x14ac:dyDescent="0.3">
      <c r="A14">
        <f t="shared" si="4"/>
        <v>165</v>
      </c>
      <c r="B14">
        <v>7.9038319177925604</v>
      </c>
      <c r="C14">
        <v>9.4084051533006328</v>
      </c>
      <c r="D14">
        <f t="shared" si="0"/>
        <v>1.5045732355080723</v>
      </c>
      <c r="E14">
        <v>8.1981612369418144</v>
      </c>
      <c r="F14">
        <v>9.082821868259126</v>
      </c>
      <c r="G14">
        <f t="shared" si="1"/>
        <v>0.88466063131731154</v>
      </c>
      <c r="H14">
        <v>9.0175792574882507</v>
      </c>
      <c r="I14">
        <v>9.8862745043789051</v>
      </c>
      <c r="J14">
        <f t="shared" si="2"/>
        <v>0.86869524689065436</v>
      </c>
      <c r="K14">
        <v>5.2448382601141894</v>
      </c>
      <c r="L14">
        <v>5.124377512005883</v>
      </c>
      <c r="M14">
        <f t="shared" si="3"/>
        <v>0.12046074810830643</v>
      </c>
    </row>
    <row r="15" spans="1:13" x14ac:dyDescent="0.3">
      <c r="A15">
        <f t="shared" si="4"/>
        <v>180</v>
      </c>
      <c r="B15">
        <v>9.3383488245308435</v>
      </c>
      <c r="C15">
        <v>9.8859432079921472</v>
      </c>
      <c r="D15">
        <f t="shared" si="0"/>
        <v>0.54759438346130374</v>
      </c>
      <c r="E15">
        <v>9.4089819118380582</v>
      </c>
      <c r="F15">
        <v>9.6771044937465298</v>
      </c>
      <c r="G15">
        <f t="shared" si="1"/>
        <v>0.2681225819084716</v>
      </c>
      <c r="H15">
        <v>9.9742648191750067</v>
      </c>
      <c r="I15">
        <v>10.180878975065941</v>
      </c>
      <c r="J15">
        <f t="shared" si="2"/>
        <v>0.20661415589093401</v>
      </c>
      <c r="K15">
        <v>5.7794837281107894</v>
      </c>
      <c r="L15">
        <v>5.2909655022335471</v>
      </c>
      <c r="M15">
        <f t="shared" si="3"/>
        <v>0.48851822587724225</v>
      </c>
    </row>
    <row r="16" spans="1:13" x14ac:dyDescent="0.3">
      <c r="A16">
        <f t="shared" si="4"/>
        <v>195</v>
      </c>
      <c r="B16">
        <v>9.6864289604127443</v>
      </c>
      <c r="C16">
        <v>9.9540147793759441</v>
      </c>
      <c r="D16">
        <f t="shared" si="0"/>
        <v>0.26758581896319988</v>
      </c>
      <c r="E16">
        <v>9.4696337357163429</v>
      </c>
      <c r="F16">
        <v>9.8190360546651405</v>
      </c>
      <c r="G16">
        <f t="shared" si="1"/>
        <v>0.34940231894879759</v>
      </c>
      <c r="H16">
        <v>9.4878362491726875</v>
      </c>
      <c r="I16">
        <v>9.5026797594979389</v>
      </c>
      <c r="J16">
        <f t="shared" si="2"/>
        <v>1.484351032525133E-2</v>
      </c>
      <c r="K16">
        <v>5.7965227402746686</v>
      </c>
      <c r="L16">
        <v>5.6673521504060238</v>
      </c>
      <c r="M16">
        <f t="shared" si="3"/>
        <v>0.12917058986864483</v>
      </c>
    </row>
    <row r="17" spans="1:13" x14ac:dyDescent="0.3">
      <c r="A17">
        <f t="shared" si="4"/>
        <v>210</v>
      </c>
      <c r="B17">
        <v>9.8099890165030921</v>
      </c>
      <c r="C17">
        <v>10.16310476148492</v>
      </c>
      <c r="D17">
        <f t="shared" si="0"/>
        <v>0.35311574498182807</v>
      </c>
      <c r="E17">
        <v>9.4136154279112798</v>
      </c>
      <c r="F17">
        <v>10.22357356358359</v>
      </c>
      <c r="G17">
        <f t="shared" si="1"/>
        <v>0.80995813567231068</v>
      </c>
      <c r="H17">
        <v>9.0127712115645391</v>
      </c>
      <c r="I17">
        <v>9.109032724247383</v>
      </c>
      <c r="J17">
        <f t="shared" si="2"/>
        <v>9.6261512682843886E-2</v>
      </c>
      <c r="K17">
        <v>5.8212727308273324</v>
      </c>
      <c r="L17">
        <v>5.8931602216015637</v>
      </c>
      <c r="M17">
        <f t="shared" si="3"/>
        <v>7.1887490774231289E-2</v>
      </c>
    </row>
    <row r="18" spans="1:13" x14ac:dyDescent="0.3">
      <c r="A18">
        <f t="shared" si="4"/>
        <v>225</v>
      </c>
      <c r="B18">
        <v>9.8605606704950333</v>
      </c>
      <c r="C18">
        <v>10.6188853729415</v>
      </c>
      <c r="D18">
        <f t="shared" si="0"/>
        <v>0.75832470244646721</v>
      </c>
      <c r="E18">
        <v>9.4525353051722014</v>
      </c>
      <c r="F18">
        <v>10.712727754239801</v>
      </c>
      <c r="G18">
        <f t="shared" si="1"/>
        <v>1.2601924490675991</v>
      </c>
      <c r="H18">
        <v>8.3569946698844415</v>
      </c>
      <c r="I18">
        <v>8.767607922401762</v>
      </c>
      <c r="J18">
        <f t="shared" si="2"/>
        <v>0.4106132525173205</v>
      </c>
      <c r="K18">
        <v>5.7952780276536942</v>
      </c>
      <c r="L18">
        <v>6.5748807346213507</v>
      </c>
      <c r="M18">
        <f t="shared" si="3"/>
        <v>0.77960270696765654</v>
      </c>
    </row>
    <row r="19" spans="1:13" x14ac:dyDescent="0.3">
      <c r="A19">
        <f t="shared" si="4"/>
        <v>240</v>
      </c>
      <c r="B19">
        <v>9.6036888659000414</v>
      </c>
      <c r="C19">
        <v>11.019189141426351</v>
      </c>
      <c r="D19">
        <f t="shared" si="0"/>
        <v>1.4155002755263091</v>
      </c>
      <c r="E19">
        <v>9.2837225645780599</v>
      </c>
      <c r="F19">
        <v>11.187165027406079</v>
      </c>
      <c r="G19">
        <f t="shared" si="1"/>
        <v>1.9034424628280195</v>
      </c>
      <c r="H19">
        <v>8.0840082839131355</v>
      </c>
      <c r="I19">
        <v>8.6796314018347438</v>
      </c>
      <c r="J19">
        <f t="shared" si="2"/>
        <v>0.59562311792160827</v>
      </c>
      <c r="K19">
        <v>5.8028049767017373</v>
      </c>
      <c r="L19">
        <v>6.93726623295131</v>
      </c>
      <c r="M19">
        <f t="shared" si="3"/>
        <v>1.1344612562495726</v>
      </c>
    </row>
    <row r="20" spans="1:13" x14ac:dyDescent="0.3">
      <c r="A20">
        <f t="shared" si="4"/>
        <v>255</v>
      </c>
      <c r="B20">
        <v>9.4413840211927926</v>
      </c>
      <c r="C20">
        <v>11.257716648717111</v>
      </c>
      <c r="D20">
        <f t="shared" si="0"/>
        <v>1.8163326275243179</v>
      </c>
      <c r="E20">
        <v>8.9907239191234112</v>
      </c>
      <c r="F20">
        <v>11.41811209981895</v>
      </c>
      <c r="G20">
        <f t="shared" si="1"/>
        <v>2.4273881806955391</v>
      </c>
      <c r="H20">
        <v>7.6655421406030628</v>
      </c>
      <c r="I20">
        <v>8.7733424888188658</v>
      </c>
      <c r="J20">
        <f t="shared" si="2"/>
        <v>1.107800348215803</v>
      </c>
      <c r="K20">
        <v>5.4578558541834363</v>
      </c>
      <c r="L20">
        <v>7.1528937095526803</v>
      </c>
      <c r="M20">
        <f t="shared" si="3"/>
        <v>1.695037855369244</v>
      </c>
    </row>
    <row r="21" spans="1:13" x14ac:dyDescent="0.3">
      <c r="A21">
        <f>15+A20</f>
        <v>270</v>
      </c>
      <c r="B21">
        <v>9.224171750247482</v>
      </c>
      <c r="C21">
        <v>11.29961402219358</v>
      </c>
      <c r="D21">
        <f t="shared" si="0"/>
        <v>2.0754422719460983</v>
      </c>
      <c r="E21">
        <v>8.87885401025415</v>
      </c>
      <c r="F21">
        <v>11.5226016942849</v>
      </c>
      <c r="G21">
        <f t="shared" si="1"/>
        <v>2.6437476840307497</v>
      </c>
      <c r="H21">
        <v>7.6865895651280862</v>
      </c>
      <c r="I21">
        <v>8.9009630921771841</v>
      </c>
      <c r="J21">
        <f t="shared" si="2"/>
        <v>1.2143735270490978</v>
      </c>
      <c r="K21">
        <v>5.2250429056584844</v>
      </c>
      <c r="L21">
        <v>7.3367547425676891</v>
      </c>
      <c r="M21">
        <f t="shared" si="3"/>
        <v>2.1117118369092047</v>
      </c>
    </row>
    <row r="22" spans="1:13" x14ac:dyDescent="0.3">
      <c r="A22">
        <f t="shared" si="4"/>
        <v>285</v>
      </c>
      <c r="B22">
        <v>9.0768648311495763</v>
      </c>
      <c r="C22">
        <v>11.25921069079515</v>
      </c>
      <c r="D22">
        <f t="shared" si="0"/>
        <v>2.182345859645574</v>
      </c>
      <c r="E22">
        <v>8.7427433580160141</v>
      </c>
      <c r="F22">
        <v>11.486202195389071</v>
      </c>
      <c r="G22">
        <f t="shared" si="1"/>
        <v>2.7434588373730566</v>
      </c>
      <c r="H22">
        <v>7.6963974162936166</v>
      </c>
      <c r="I22">
        <v>9.1298654651974189</v>
      </c>
      <c r="J22">
        <f t="shared" si="2"/>
        <v>1.4334680489038023</v>
      </c>
      <c r="K22">
        <v>4.8765458166599238</v>
      </c>
      <c r="L22">
        <v>7.7144684753165391</v>
      </c>
      <c r="M22">
        <f t="shared" si="3"/>
        <v>2.8379226586566153</v>
      </c>
    </row>
    <row r="23" spans="1:13" x14ac:dyDescent="0.3">
      <c r="A23">
        <f>15+A22</f>
        <v>300</v>
      </c>
      <c r="B23">
        <v>9.0638644993305189</v>
      </c>
      <c r="C23">
        <v>11.18616295125709</v>
      </c>
      <c r="D23">
        <f t="shared" si="0"/>
        <v>2.1222984519265715</v>
      </c>
      <c r="E23">
        <v>8.6651282384991664</v>
      </c>
      <c r="F23">
        <v>11.270902016559241</v>
      </c>
      <c r="G23">
        <f t="shared" si="1"/>
        <v>2.6057737780600743</v>
      </c>
      <c r="H23">
        <v>8.0517120659351313</v>
      </c>
      <c r="I23">
        <v>9.4537609499246198</v>
      </c>
      <c r="J23">
        <f t="shared" si="2"/>
        <v>1.4020488839894885</v>
      </c>
      <c r="K23">
        <v>4.9167531542479992</v>
      </c>
      <c r="L23">
        <v>7.8029400380554472</v>
      </c>
      <c r="M23">
        <f t="shared" si="3"/>
        <v>2.886186883807448</v>
      </c>
    </row>
    <row r="24" spans="1:13" x14ac:dyDescent="0.3">
      <c r="A24">
        <f t="shared" si="4"/>
        <v>315</v>
      </c>
      <c r="B24">
        <v>9.1366400942206365</v>
      </c>
      <c r="C24">
        <v>11.02486114455299</v>
      </c>
      <c r="D24">
        <f t="shared" si="0"/>
        <v>1.8882210503323531</v>
      </c>
      <c r="E24">
        <v>8.5056108422577381</v>
      </c>
      <c r="F24">
        <v>10.84005709000218</v>
      </c>
      <c r="G24">
        <f t="shared" si="1"/>
        <v>2.3344462477444416</v>
      </c>
      <c r="H24">
        <v>8.3791333250701392</v>
      </c>
      <c r="I24">
        <v>9.7975846821851142</v>
      </c>
      <c r="J24">
        <f t="shared" si="2"/>
        <v>1.4184513571149751</v>
      </c>
      <c r="K24">
        <v>5.1785341463983077</v>
      </c>
      <c r="L24">
        <v>8.3390958231566295</v>
      </c>
      <c r="M24">
        <f t="shared" si="3"/>
        <v>3.1605616767583218</v>
      </c>
    </row>
    <row r="25" spans="1:13" x14ac:dyDescent="0.3">
      <c r="A25">
        <f t="shared" si="4"/>
        <v>330</v>
      </c>
      <c r="B25">
        <v>9.1776682995259762</v>
      </c>
      <c r="C25">
        <v>10.79424960633024</v>
      </c>
      <c r="D25">
        <f t="shared" si="0"/>
        <v>1.6165813068042638</v>
      </c>
      <c r="E25">
        <v>8.381233736872673</v>
      </c>
      <c r="F25">
        <v>10.236864971557511</v>
      </c>
      <c r="G25">
        <f t="shared" si="1"/>
        <v>1.8556312346848376</v>
      </c>
      <c r="H25">
        <v>8.7909122928977048</v>
      </c>
      <c r="I25">
        <v>9.9171342344501561</v>
      </c>
      <c r="J25">
        <f t="shared" si="2"/>
        <v>1.1262219415524513</v>
      </c>
      <c r="K25">
        <v>5.6541459634900137</v>
      </c>
      <c r="L25">
        <v>8.4010439451743117</v>
      </c>
      <c r="M25">
        <f t="shared" si="3"/>
        <v>2.746897981684298</v>
      </c>
    </row>
    <row r="26" spans="1:13" x14ac:dyDescent="0.3">
      <c r="A26">
        <f>15+A25</f>
        <v>345</v>
      </c>
      <c r="B26">
        <v>9.1869960539043003</v>
      </c>
      <c r="C26">
        <v>10.55724614276625</v>
      </c>
      <c r="D26">
        <f t="shared" si="0"/>
        <v>1.3702500888619493</v>
      </c>
      <c r="E26">
        <v>8.2671830430626851</v>
      </c>
      <c r="F26">
        <v>9.7330437012062951</v>
      </c>
      <c r="G26">
        <f t="shared" si="1"/>
        <v>1.46586065814361</v>
      </c>
      <c r="H26">
        <v>9.4722218811511993</v>
      </c>
      <c r="I26">
        <v>10.239537447248679</v>
      </c>
      <c r="J26">
        <f t="shared" si="2"/>
        <v>0.76731556609747997</v>
      </c>
      <c r="K26">
        <v>5.9170374646782902</v>
      </c>
      <c r="L26">
        <v>8.2099288412872262</v>
      </c>
      <c r="M26">
        <f t="shared" si="3"/>
        <v>2.292891376608936</v>
      </c>
    </row>
    <row r="27" spans="1:13" x14ac:dyDescent="0.3">
      <c r="C27">
        <v>9.9150151100112804</v>
      </c>
      <c r="F27">
        <v>9.1165843803846247</v>
      </c>
      <c r="I27">
        <v>10.16282852706339</v>
      </c>
      <c r="L27">
        <v>7.7357384495418886</v>
      </c>
    </row>
    <row r="28" spans="1:13" x14ac:dyDescent="0.3">
      <c r="D28" s="1" t="s">
        <v>11</v>
      </c>
      <c r="G28" s="1" t="s">
        <v>12</v>
      </c>
      <c r="J28" s="1" t="s">
        <v>13</v>
      </c>
      <c r="M28" s="1" t="s">
        <v>6</v>
      </c>
    </row>
    <row r="29" spans="1:13" x14ac:dyDescent="0.3">
      <c r="C29" t="s">
        <v>8</v>
      </c>
      <c r="D29" s="7">
        <f>AVERAGE(D3:D26)</f>
        <v>1.615621506732837</v>
      </c>
      <c r="F29" t="s">
        <v>8</v>
      </c>
      <c r="G29" s="7">
        <f>AVERAGE(G3:G26)</f>
        <v>1.6421691494224107</v>
      </c>
      <c r="I29" t="s">
        <v>8</v>
      </c>
      <c r="J29" s="7">
        <f>AVERAGE(J3:J26)</f>
        <v>0.91559206266844628</v>
      </c>
      <c r="L29" t="s">
        <v>8</v>
      </c>
      <c r="M29" s="7">
        <f>AVERAGE(M3:M26)</f>
        <v>1.554874617495549</v>
      </c>
    </row>
    <row r="30" spans="1:13" x14ac:dyDescent="0.3">
      <c r="C30" t="s">
        <v>9</v>
      </c>
      <c r="D30" s="7">
        <f>_xlfn.STDEV.P(D3:D26)</f>
        <v>0.59577557562956296</v>
      </c>
      <c r="F30" t="s">
        <v>9</v>
      </c>
      <c r="G30" s="7">
        <f>_xlfn.STDEV.P(G3:G26)</f>
        <v>0.63830341632832832</v>
      </c>
      <c r="I30" t="s">
        <v>9</v>
      </c>
      <c r="J30" s="7">
        <f>_xlfn.STDEV.P(J3:J26)</f>
        <v>0.38625275537711062</v>
      </c>
      <c r="K30" t="s">
        <v>10</v>
      </c>
      <c r="L30" t="s">
        <v>9</v>
      </c>
      <c r="M30" s="7">
        <f>_xlfn.STDEV.P(M3:M26)</f>
        <v>0.94744874856200834</v>
      </c>
    </row>
    <row r="31" spans="1:13" x14ac:dyDescent="0.3">
      <c r="D31" s="8"/>
      <c r="G31" s="8"/>
      <c r="J31" s="8"/>
      <c r="M31" s="8"/>
    </row>
    <row r="32" spans="1:13" x14ac:dyDescent="0.3">
      <c r="C32" t="s">
        <v>16</v>
      </c>
      <c r="D32" s="8">
        <f>AVERAGE(B3:C26)</f>
        <v>9.2979606785188782</v>
      </c>
      <c r="F32" t="s">
        <v>16</v>
      </c>
      <c r="G32" s="8">
        <f>AVERAGE(E3:F26)</f>
        <v>8.9425017891842931</v>
      </c>
      <c r="I32" t="s">
        <v>16</v>
      </c>
      <c r="J32" s="8">
        <f>AVERAGE(H3:I26)</f>
        <v>9.1729255197924591</v>
      </c>
      <c r="L32" t="s">
        <v>16</v>
      </c>
      <c r="M32" s="8">
        <f>AVERAGE(K3:L26)</f>
        <v>5.709546479842551</v>
      </c>
    </row>
    <row r="33" spans="3:13" x14ac:dyDescent="0.3">
      <c r="C33" t="s">
        <v>17</v>
      </c>
      <c r="D33" s="7">
        <f>D29*100/D32</f>
        <v>17.376084526421099</v>
      </c>
      <c r="F33" t="s">
        <v>17</v>
      </c>
      <c r="G33" s="7">
        <f>G29*100/G32</f>
        <v>18.363643509790162</v>
      </c>
      <c r="I33" t="s">
        <v>17</v>
      </c>
      <c r="J33" s="7">
        <f>J29*100/J32</f>
        <v>9.9814618650600568</v>
      </c>
      <c r="L33" t="s">
        <v>17</v>
      </c>
      <c r="M33" s="7">
        <f>M29*100/M32</f>
        <v>27.232891841497487</v>
      </c>
    </row>
  </sheetData>
  <mergeCells count="9">
    <mergeCell ref="J1:J2"/>
    <mergeCell ref="K1:L1"/>
    <mergeCell ref="M1:M2"/>
    <mergeCell ref="A1:A2"/>
    <mergeCell ref="B1:C1"/>
    <mergeCell ref="D1:D2"/>
    <mergeCell ref="E1:F1"/>
    <mergeCell ref="G1:G2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F25D-D359-481F-896B-15C6FB0FB1BD}">
  <dimension ref="A1:M21"/>
  <sheetViews>
    <sheetView zoomScale="70" zoomScaleNormal="70" workbookViewId="0">
      <selection activeCell="L28" sqref="L28"/>
    </sheetView>
  </sheetViews>
  <sheetFormatPr defaultRowHeight="14.4" x14ac:dyDescent="0.3"/>
  <cols>
    <col min="2" max="3" width="15.33203125" customWidth="1"/>
    <col min="4" max="4" width="22" customWidth="1"/>
    <col min="5" max="5" width="15.33203125" customWidth="1"/>
    <col min="6" max="6" width="15.21875" customWidth="1"/>
    <col min="7" max="7" width="23" customWidth="1"/>
    <col min="8" max="8" width="14.6640625" customWidth="1"/>
    <col min="9" max="9" width="19.77734375" customWidth="1"/>
    <col min="10" max="10" width="23" customWidth="1"/>
    <col min="11" max="11" width="16.21875" customWidth="1"/>
    <col min="12" max="12" width="17.21875" customWidth="1"/>
    <col min="13" max="13" width="24.77734375" customWidth="1"/>
  </cols>
  <sheetData>
    <row r="1" spans="1:13" x14ac:dyDescent="0.3">
      <c r="A1" s="14" t="s">
        <v>18</v>
      </c>
      <c r="B1" s="21" t="s">
        <v>3</v>
      </c>
      <c r="C1" s="21"/>
      <c r="D1" s="20" t="s">
        <v>7</v>
      </c>
      <c r="E1" s="21" t="s">
        <v>4</v>
      </c>
      <c r="F1" s="21"/>
      <c r="G1" s="20" t="s">
        <v>7</v>
      </c>
      <c r="H1" s="21" t="s">
        <v>5</v>
      </c>
      <c r="I1" s="21"/>
      <c r="J1" s="20" t="s">
        <v>7</v>
      </c>
      <c r="K1" s="21" t="s">
        <v>6</v>
      </c>
      <c r="L1" s="21"/>
      <c r="M1" s="20" t="s">
        <v>7</v>
      </c>
    </row>
    <row r="2" spans="1:13" x14ac:dyDescent="0.3">
      <c r="A2" s="14"/>
      <c r="B2" s="2" t="s">
        <v>2</v>
      </c>
      <c r="C2" s="5" t="s">
        <v>1</v>
      </c>
      <c r="D2" s="20"/>
      <c r="E2" s="2" t="s">
        <v>2</v>
      </c>
      <c r="F2" s="5" t="s">
        <v>1</v>
      </c>
      <c r="G2" s="20"/>
      <c r="H2" s="2" t="s">
        <v>2</v>
      </c>
      <c r="I2" s="5" t="s">
        <v>1</v>
      </c>
      <c r="J2" s="20"/>
      <c r="K2" s="2" t="s">
        <v>2</v>
      </c>
      <c r="L2" s="5" t="s">
        <v>1</v>
      </c>
      <c r="M2" s="20"/>
    </row>
    <row r="3" spans="1:13" x14ac:dyDescent="0.3">
      <c r="A3" t="s">
        <v>19</v>
      </c>
      <c r="B3">
        <v>32.97231101879369</v>
      </c>
      <c r="C3">
        <v>35.961369467874071</v>
      </c>
      <c r="D3">
        <f>ABS(B3-C3)</f>
        <v>2.9890584490803818</v>
      </c>
      <c r="E3">
        <v>32.652870790978298</v>
      </c>
      <c r="F3">
        <v>34.939823052128261</v>
      </c>
      <c r="G3">
        <f>ABS(E3-F3)</f>
        <v>2.2869522611499633</v>
      </c>
      <c r="H3">
        <v>33.019245922818286</v>
      </c>
      <c r="I3">
        <v>34.056991204218257</v>
      </c>
      <c r="J3">
        <f>ABS(H3-I3)</f>
        <v>1.037745281399971</v>
      </c>
      <c r="K3">
        <v>24.968024231527842</v>
      </c>
      <c r="L3">
        <v>28.492981956937282</v>
      </c>
      <c r="M3">
        <f>ABS(K3-L3)</f>
        <v>3.5249577254094397</v>
      </c>
    </row>
    <row r="4" spans="1:13" x14ac:dyDescent="0.3">
      <c r="A4" t="s">
        <v>20</v>
      </c>
      <c r="B4">
        <v>33.717486503173745</v>
      </c>
      <c r="C4">
        <v>40.568715006612543</v>
      </c>
      <c r="D4">
        <f t="shared" ref="D4:D14" si="0">ABS(B4-C4)</f>
        <v>6.8512285034387972</v>
      </c>
      <c r="E4">
        <v>32.59371716358261</v>
      </c>
      <c r="F4">
        <v>38.106249745059692</v>
      </c>
      <c r="G4">
        <f t="shared" ref="G4:G14" si="1">ABS(E4-F4)</f>
        <v>5.5125325814770818</v>
      </c>
      <c r="H4">
        <v>31.574277922030365</v>
      </c>
      <c r="I4">
        <v>38.852229188397949</v>
      </c>
      <c r="J4">
        <f t="shared" ref="J4:J14" si="2">ABS(H4-I4)</f>
        <v>7.2779512663675838</v>
      </c>
      <c r="K4">
        <v>25.122183510819625</v>
      </c>
      <c r="L4">
        <v>51.65736748849779</v>
      </c>
      <c r="M4">
        <f t="shared" ref="M4:M14" si="3">ABS(K4-L4)</f>
        <v>26.535183977678166</v>
      </c>
    </row>
    <row r="5" spans="1:13" x14ac:dyDescent="0.3">
      <c r="A5" t="s">
        <v>21</v>
      </c>
      <c r="B5">
        <v>33.919409075542184</v>
      </c>
      <c r="C5">
        <v>37.501160271195992</v>
      </c>
      <c r="D5">
        <f t="shared" si="0"/>
        <v>3.5817511956538084</v>
      </c>
      <c r="E5">
        <v>32.597055537358429</v>
      </c>
      <c r="F5">
        <v>35.788473051649042</v>
      </c>
      <c r="G5">
        <f t="shared" si="1"/>
        <v>3.1914175142906132</v>
      </c>
      <c r="H5">
        <v>30.268720585713925</v>
      </c>
      <c r="I5">
        <v>32.696996730179499</v>
      </c>
      <c r="J5">
        <f t="shared" si="2"/>
        <v>2.428276144465574</v>
      </c>
      <c r="K5">
        <v>24.685884004292642</v>
      </c>
      <c r="L5">
        <v>27.86319339613377</v>
      </c>
      <c r="M5">
        <f t="shared" si="3"/>
        <v>3.1773093918411277</v>
      </c>
    </row>
    <row r="6" spans="1:13" x14ac:dyDescent="0.3">
      <c r="A6" t="s">
        <v>22</v>
      </c>
      <c r="B6">
        <v>34.715818658027423</v>
      </c>
      <c r="C6">
        <v>33.267673238701441</v>
      </c>
      <c r="D6">
        <f t="shared" si="0"/>
        <v>1.4481454193259822</v>
      </c>
      <c r="E6">
        <v>33.358419308702935</v>
      </c>
      <c r="F6">
        <v>32.132219536416443</v>
      </c>
      <c r="G6">
        <f t="shared" si="1"/>
        <v>1.2261997722864919</v>
      </c>
      <c r="H6">
        <v>28.54594235382185</v>
      </c>
      <c r="I6">
        <v>25.502475273107351</v>
      </c>
      <c r="J6">
        <f t="shared" si="2"/>
        <v>3.0434670807144997</v>
      </c>
      <c r="K6">
        <v>23.38828915404774</v>
      </c>
      <c r="L6">
        <v>47.024261950806157</v>
      </c>
      <c r="M6">
        <f t="shared" si="3"/>
        <v>23.635972796758416</v>
      </c>
    </row>
    <row r="7" spans="1:13" x14ac:dyDescent="0.3">
      <c r="A7" t="s">
        <v>23</v>
      </c>
      <c r="B7">
        <v>34.248806187455948</v>
      </c>
      <c r="C7">
        <v>30.766694038537519</v>
      </c>
      <c r="D7">
        <f t="shared" si="0"/>
        <v>3.4821121489184286</v>
      </c>
      <c r="E7">
        <v>33.216519866358972</v>
      </c>
      <c r="F7">
        <v>31.226652580870581</v>
      </c>
      <c r="G7">
        <f t="shared" si="1"/>
        <v>1.9898672854883905</v>
      </c>
      <c r="H7">
        <v>26.907233710555165</v>
      </c>
      <c r="I7">
        <v>20.378454048909401</v>
      </c>
      <c r="J7">
        <f t="shared" si="2"/>
        <v>6.5287796616457641</v>
      </c>
      <c r="K7">
        <v>21.672316889304014</v>
      </c>
      <c r="L7">
        <v>21.48987341812699</v>
      </c>
      <c r="M7">
        <f t="shared" si="3"/>
        <v>0.18244347117702375</v>
      </c>
    </row>
    <row r="8" spans="1:13" x14ac:dyDescent="0.3">
      <c r="A8" t="s">
        <v>24</v>
      </c>
      <c r="B8">
        <v>34.327326364367039</v>
      </c>
      <c r="C8">
        <v>33.416050288016898</v>
      </c>
      <c r="D8">
        <f t="shared" si="0"/>
        <v>0.9112760763501413</v>
      </c>
      <c r="E8">
        <v>33.421521684858064</v>
      </c>
      <c r="F8">
        <v>33.596914934920378</v>
      </c>
      <c r="G8">
        <f t="shared" si="1"/>
        <v>0.17539325006231365</v>
      </c>
      <c r="H8">
        <v>25.44955489180057</v>
      </c>
      <c r="I8">
        <v>22.203341574223469</v>
      </c>
      <c r="J8">
        <f t="shared" si="2"/>
        <v>3.2462133175771015</v>
      </c>
      <c r="K8">
        <v>20.6664680405189</v>
      </c>
      <c r="L8">
        <v>43.763889156795273</v>
      </c>
      <c r="M8">
        <f t="shared" si="3"/>
        <v>23.097421116276372</v>
      </c>
    </row>
    <row r="9" spans="1:13" x14ac:dyDescent="0.3">
      <c r="A9" t="s">
        <v>25</v>
      </c>
      <c r="B9">
        <v>33.787848665885598</v>
      </c>
      <c r="C9">
        <v>34.178039043069617</v>
      </c>
      <c r="D9">
        <f t="shared" si="0"/>
        <v>0.39019037718401961</v>
      </c>
      <c r="E9">
        <v>33.350725369986989</v>
      </c>
      <c r="F9">
        <v>35.336883247394603</v>
      </c>
      <c r="G9">
        <f t="shared" si="1"/>
        <v>1.9861578774076136</v>
      </c>
      <c r="H9">
        <v>25.910170218729846</v>
      </c>
      <c r="I9">
        <v>23.08347424584327</v>
      </c>
      <c r="J9">
        <f t="shared" si="2"/>
        <v>2.8266959728865757</v>
      </c>
      <c r="K9">
        <v>21.323727892591695</v>
      </c>
      <c r="L9">
        <v>21.085804607023629</v>
      </c>
      <c r="M9">
        <f t="shared" si="3"/>
        <v>0.23792328556806552</v>
      </c>
    </row>
    <row r="10" spans="1:13" x14ac:dyDescent="0.3">
      <c r="A10" t="s">
        <v>26</v>
      </c>
      <c r="B10">
        <v>33.716048081018094</v>
      </c>
      <c r="C10">
        <v>33.290242487741438</v>
      </c>
      <c r="D10">
        <f t="shared" si="0"/>
        <v>0.42580559327665668</v>
      </c>
      <c r="E10">
        <v>33.288964779117791</v>
      </c>
      <c r="F10">
        <v>35.148289108366413</v>
      </c>
      <c r="G10">
        <f t="shared" si="1"/>
        <v>1.8593243292486221</v>
      </c>
      <c r="H10">
        <v>26.610754615487537</v>
      </c>
      <c r="I10">
        <v>23.721680810636759</v>
      </c>
      <c r="J10">
        <f t="shared" si="2"/>
        <v>2.8890738048507778</v>
      </c>
      <c r="K10">
        <v>22.882351535703435</v>
      </c>
      <c r="L10">
        <v>41.632354192266362</v>
      </c>
      <c r="M10">
        <f t="shared" si="3"/>
        <v>18.750002656562927</v>
      </c>
    </row>
    <row r="11" spans="1:13" x14ac:dyDescent="0.3">
      <c r="A11" t="s">
        <v>27</v>
      </c>
      <c r="B11">
        <v>33.497147926955201</v>
      </c>
      <c r="C11">
        <v>32.659379574917679</v>
      </c>
      <c r="D11">
        <f t="shared" si="0"/>
        <v>0.83776835203752142</v>
      </c>
      <c r="E11">
        <v>32.55662169926741</v>
      </c>
      <c r="F11">
        <v>34.527983407973949</v>
      </c>
      <c r="G11">
        <f t="shared" si="1"/>
        <v>1.9713617087065387</v>
      </c>
      <c r="H11">
        <v>27.936560250164707</v>
      </c>
      <c r="I11">
        <v>24.94004953680777</v>
      </c>
      <c r="J11">
        <f t="shared" si="2"/>
        <v>2.9965107133569369</v>
      </c>
      <c r="K11">
        <v>25.477540749831064</v>
      </c>
      <c r="L11">
        <v>21.801025552050842</v>
      </c>
      <c r="M11">
        <f t="shared" si="3"/>
        <v>3.6765151977802226</v>
      </c>
    </row>
    <row r="12" spans="1:13" x14ac:dyDescent="0.3">
      <c r="A12" t="s">
        <v>28</v>
      </c>
      <c r="B12">
        <v>32.612033219196249</v>
      </c>
      <c r="C12">
        <v>34.38998398265003</v>
      </c>
      <c r="D12">
        <f t="shared" si="0"/>
        <v>1.7779507634537808</v>
      </c>
      <c r="E12">
        <v>31.814717758323646</v>
      </c>
      <c r="F12">
        <v>34.956736675294728</v>
      </c>
      <c r="G12">
        <f t="shared" si="1"/>
        <v>3.1420189169710824</v>
      </c>
      <c r="H12">
        <v>29.084855959055268</v>
      </c>
      <c r="I12">
        <v>28.881499382300529</v>
      </c>
      <c r="J12">
        <f t="shared" si="2"/>
        <v>0.20335657675473939</v>
      </c>
      <c r="K12">
        <v>26.697310682011519</v>
      </c>
      <c r="L12">
        <v>50.919942373133921</v>
      </c>
      <c r="M12">
        <f t="shared" si="3"/>
        <v>24.222631691122402</v>
      </c>
    </row>
    <row r="13" spans="1:13" x14ac:dyDescent="0.3">
      <c r="A13" t="s">
        <v>29</v>
      </c>
      <c r="B13">
        <v>32.776148874147481</v>
      </c>
      <c r="C13">
        <v>36.260757256326272</v>
      </c>
      <c r="D13">
        <f t="shared" si="0"/>
        <v>3.4846083821787914</v>
      </c>
      <c r="E13">
        <v>30.929258114446803</v>
      </c>
      <c r="F13">
        <v>34.678379581380298</v>
      </c>
      <c r="G13">
        <f t="shared" si="1"/>
        <v>3.7491214669334951</v>
      </c>
      <c r="H13">
        <v>29.762397761265873</v>
      </c>
      <c r="I13">
        <v>31.69477486348724</v>
      </c>
      <c r="J13">
        <f t="shared" si="2"/>
        <v>1.9323771022213663</v>
      </c>
      <c r="K13">
        <v>27.130257072338324</v>
      </c>
      <c r="L13">
        <v>28.39383079031008</v>
      </c>
      <c r="M13">
        <f t="shared" si="3"/>
        <v>1.2635737179717559</v>
      </c>
    </row>
    <row r="14" spans="1:13" x14ac:dyDescent="0.3">
      <c r="A14" t="s">
        <v>30</v>
      </c>
      <c r="B14">
        <v>32.96524950657404</v>
      </c>
      <c r="C14">
        <v>51.487307991506157</v>
      </c>
      <c r="D14">
        <f t="shared" si="0"/>
        <v>18.522058484932117</v>
      </c>
      <c r="E14">
        <v>31.747842252937367</v>
      </c>
      <c r="F14">
        <v>46.719921555849972</v>
      </c>
      <c r="G14">
        <f t="shared" si="1"/>
        <v>14.972079302912604</v>
      </c>
      <c r="H14">
        <v>30.494550353343186</v>
      </c>
      <c r="I14">
        <v>46.776824664491713</v>
      </c>
      <c r="J14">
        <f t="shared" si="2"/>
        <v>16.282274311148527</v>
      </c>
      <c r="K14">
        <v>26.55171037405346</v>
      </c>
      <c r="L14">
        <v>65.091990303554368</v>
      </c>
      <c r="M14">
        <f t="shared" si="3"/>
        <v>38.540279929500912</v>
      </c>
    </row>
    <row r="16" spans="1:13" x14ac:dyDescent="0.3">
      <c r="D16" s="1" t="s">
        <v>11</v>
      </c>
      <c r="G16" s="1" t="s">
        <v>12</v>
      </c>
      <c r="J16" s="1" t="s">
        <v>13</v>
      </c>
      <c r="M16" s="1" t="s">
        <v>6</v>
      </c>
    </row>
    <row r="17" spans="3:13" x14ac:dyDescent="0.3">
      <c r="C17" t="s">
        <v>8</v>
      </c>
      <c r="D17" s="7">
        <f>AVERAGE(D3:D14)</f>
        <v>3.7251628121525351</v>
      </c>
      <c r="F17" t="s">
        <v>8</v>
      </c>
      <c r="G17" s="7">
        <f>AVERAGE(G3:G14)</f>
        <v>3.5052021889112339</v>
      </c>
      <c r="I17" t="s">
        <v>8</v>
      </c>
      <c r="J17" s="7">
        <f>AVERAGE(J3:J14)</f>
        <v>4.2243934361157853</v>
      </c>
      <c r="L17" t="s">
        <v>8</v>
      </c>
      <c r="M17" s="7">
        <f>AVERAGE(M3:M14)</f>
        <v>13.903684579803901</v>
      </c>
    </row>
    <row r="18" spans="3:13" x14ac:dyDescent="0.3">
      <c r="C18" t="s">
        <v>9</v>
      </c>
      <c r="D18" s="7">
        <f>_xlfn.STDEV.P(D3:D14)</f>
        <v>4.801380117050785</v>
      </c>
      <c r="F18" t="s">
        <v>9</v>
      </c>
      <c r="G18" s="7">
        <f>_xlfn.STDEV.P(G3:G14)</f>
        <v>3.688263300501978</v>
      </c>
      <c r="I18" t="s">
        <v>9</v>
      </c>
      <c r="J18" s="7">
        <f>_xlfn.STDEV.P(J3:J14)</f>
        <v>4.1071634441188722</v>
      </c>
      <c r="K18" t="s">
        <v>10</v>
      </c>
      <c r="L18" t="s">
        <v>9</v>
      </c>
      <c r="M18" s="7">
        <f>_xlfn.STDEV.P(M3:M14)</f>
        <v>12.707911848403894</v>
      </c>
    </row>
    <row r="19" spans="3:13" x14ac:dyDescent="0.3">
      <c r="D19" s="8"/>
      <c r="G19" s="8"/>
      <c r="J19" s="8"/>
      <c r="M19" s="8"/>
    </row>
    <row r="20" spans="3:13" x14ac:dyDescent="0.3">
      <c r="C20" t="s">
        <v>31</v>
      </c>
      <c r="D20" s="8">
        <f>AVERAGE(B3:C14)</f>
        <v>34.875125280345266</v>
      </c>
      <c r="F20" t="s">
        <v>31</v>
      </c>
      <c r="G20" s="8">
        <f>AVERAGE(E3:F14)</f>
        <v>34.111948366800995</v>
      </c>
      <c r="I20" t="s">
        <v>31</v>
      </c>
      <c r="J20" s="8">
        <f>AVERAGE(H3:I14)</f>
        <v>29.098044002807914</v>
      </c>
      <c r="L20" t="s">
        <v>31</v>
      </c>
      <c r="M20" s="8">
        <f>AVERAGE(K3:L14)</f>
        <v>30.82427413844486</v>
      </c>
    </row>
    <row r="21" spans="3:13" x14ac:dyDescent="0.3">
      <c r="C21" t="s">
        <v>32</v>
      </c>
      <c r="D21" s="7">
        <f>D17*100/D20</f>
        <v>10.681432058545012</v>
      </c>
      <c r="F21" t="s">
        <v>32</v>
      </c>
      <c r="G21" s="7">
        <f>G17*100/G20</f>
        <v>10.275584822128264</v>
      </c>
      <c r="I21" t="s">
        <v>32</v>
      </c>
      <c r="J21" s="7">
        <f>J17*100/J20</f>
        <v>14.517791765343878</v>
      </c>
      <c r="L21" t="s">
        <v>32</v>
      </c>
      <c r="M21" s="7">
        <f>M17*100/M20</f>
        <v>45.10628382474335</v>
      </c>
    </row>
  </sheetData>
  <mergeCells count="9">
    <mergeCell ref="J1:J2"/>
    <mergeCell ref="K1:L1"/>
    <mergeCell ref="M1:M2"/>
    <mergeCell ref="A1:A2"/>
    <mergeCell ref="B1:C1"/>
    <mergeCell ref="D1:D2"/>
    <mergeCell ref="E1:F1"/>
    <mergeCell ref="G1:G2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5D86-9D3A-4267-AEB4-108755355E2A}">
  <dimension ref="A1:AK31"/>
  <sheetViews>
    <sheetView topLeftCell="P1" zoomScale="85" zoomScaleNormal="85" workbookViewId="0">
      <selection activeCell="AG31" sqref="AG31"/>
    </sheetView>
  </sheetViews>
  <sheetFormatPr defaultRowHeight="14.4" x14ac:dyDescent="0.3"/>
  <cols>
    <col min="2" max="37" width="10.77734375" customWidth="1"/>
  </cols>
  <sheetData>
    <row r="1" spans="1:37" ht="14.4" customHeight="1" x14ac:dyDescent="0.3">
      <c r="A1" s="26" t="s">
        <v>33</v>
      </c>
      <c r="B1" s="21" t="s">
        <v>3</v>
      </c>
      <c r="C1" s="21"/>
      <c r="D1" s="21"/>
      <c r="E1" s="21"/>
      <c r="F1" s="21"/>
      <c r="G1" s="21"/>
      <c r="H1" s="21"/>
      <c r="I1" s="21"/>
      <c r="J1" s="21"/>
      <c r="K1" s="22" t="s">
        <v>4</v>
      </c>
      <c r="L1" s="22"/>
      <c r="M1" s="22"/>
      <c r="N1" s="22"/>
      <c r="O1" s="22"/>
      <c r="P1" s="22"/>
      <c r="Q1" s="22"/>
      <c r="R1" s="22"/>
      <c r="S1" s="22"/>
      <c r="T1" s="21" t="s">
        <v>5</v>
      </c>
      <c r="U1" s="21"/>
      <c r="V1" s="21"/>
      <c r="W1" s="21"/>
      <c r="X1" s="21"/>
      <c r="Y1" s="21"/>
      <c r="Z1" s="21"/>
      <c r="AA1" s="21"/>
      <c r="AB1" s="21"/>
      <c r="AC1" s="22" t="s">
        <v>6</v>
      </c>
      <c r="AD1" s="22"/>
      <c r="AE1" s="22"/>
      <c r="AF1" s="22"/>
      <c r="AG1" s="22"/>
      <c r="AH1" s="22"/>
      <c r="AI1" s="22"/>
      <c r="AJ1" s="22"/>
      <c r="AK1" s="22"/>
    </row>
    <row r="2" spans="1:37" x14ac:dyDescent="0.3">
      <c r="A2" s="26"/>
      <c r="B2" s="23" t="s">
        <v>2</v>
      </c>
      <c r="C2" s="23"/>
      <c r="D2" s="23"/>
      <c r="E2" s="24" t="s">
        <v>1</v>
      </c>
      <c r="F2" s="24"/>
      <c r="G2" s="24"/>
      <c r="H2" s="20" t="s">
        <v>7</v>
      </c>
      <c r="I2" s="20"/>
      <c r="J2" s="20"/>
      <c r="K2" s="23" t="s">
        <v>2</v>
      </c>
      <c r="L2" s="23"/>
      <c r="M2" s="23"/>
      <c r="N2" s="24" t="s">
        <v>1</v>
      </c>
      <c r="O2" s="24"/>
      <c r="P2" s="24"/>
      <c r="Q2" s="20" t="s">
        <v>7</v>
      </c>
      <c r="R2" s="20"/>
      <c r="S2" s="20"/>
      <c r="T2" s="23" t="s">
        <v>2</v>
      </c>
      <c r="U2" s="23"/>
      <c r="V2" s="23"/>
      <c r="W2" s="24" t="s">
        <v>1</v>
      </c>
      <c r="X2" s="24"/>
      <c r="Y2" s="24"/>
      <c r="Z2" s="20" t="s">
        <v>7</v>
      </c>
      <c r="AA2" s="20"/>
      <c r="AB2" s="20"/>
      <c r="AC2" s="23" t="s">
        <v>2</v>
      </c>
      <c r="AD2" s="23"/>
      <c r="AE2" s="23"/>
      <c r="AF2" s="24" t="s">
        <v>1</v>
      </c>
      <c r="AG2" s="24"/>
      <c r="AH2" s="24"/>
      <c r="AI2" s="20" t="s">
        <v>7</v>
      </c>
      <c r="AJ2" s="20"/>
      <c r="AK2" s="20"/>
    </row>
    <row r="3" spans="1:37" x14ac:dyDescent="0.3">
      <c r="A3" s="26"/>
      <c r="B3" t="s">
        <v>34</v>
      </c>
      <c r="C3" t="s">
        <v>35</v>
      </c>
      <c r="D3" t="s">
        <v>36</v>
      </c>
      <c r="E3" t="s">
        <v>34</v>
      </c>
      <c r="F3" t="s">
        <v>35</v>
      </c>
      <c r="G3" t="s">
        <v>36</v>
      </c>
      <c r="H3" t="s">
        <v>34</v>
      </c>
      <c r="I3" t="s">
        <v>35</v>
      </c>
      <c r="J3" t="s">
        <v>36</v>
      </c>
      <c r="K3" t="s">
        <v>34</v>
      </c>
      <c r="L3" t="s">
        <v>35</v>
      </c>
      <c r="M3" t="s">
        <v>36</v>
      </c>
      <c r="N3" t="s">
        <v>34</v>
      </c>
      <c r="O3" t="s">
        <v>35</v>
      </c>
      <c r="P3" t="s">
        <v>36</v>
      </c>
      <c r="Q3" t="s">
        <v>34</v>
      </c>
      <c r="R3" t="s">
        <v>35</v>
      </c>
      <c r="S3" t="s">
        <v>36</v>
      </c>
      <c r="T3" t="s">
        <v>34</v>
      </c>
      <c r="U3" t="s">
        <v>35</v>
      </c>
      <c r="V3" t="s">
        <v>36</v>
      </c>
      <c r="W3" t="s">
        <v>34</v>
      </c>
      <c r="X3" t="s">
        <v>35</v>
      </c>
      <c r="Y3" t="s">
        <v>36</v>
      </c>
      <c r="Z3" t="s">
        <v>34</v>
      </c>
      <c r="AA3" t="s">
        <v>35</v>
      </c>
      <c r="AB3" t="s">
        <v>36</v>
      </c>
      <c r="AC3" t="s">
        <v>34</v>
      </c>
      <c r="AD3" t="s">
        <v>35</v>
      </c>
      <c r="AE3" t="s">
        <v>36</v>
      </c>
      <c r="AF3" t="s">
        <v>34</v>
      </c>
      <c r="AG3" t="s">
        <v>35</v>
      </c>
      <c r="AH3" t="s">
        <v>36</v>
      </c>
      <c r="AI3" t="s">
        <v>34</v>
      </c>
      <c r="AJ3" t="s">
        <v>35</v>
      </c>
      <c r="AK3" t="s">
        <v>36</v>
      </c>
    </row>
    <row r="4" spans="1:37" x14ac:dyDescent="0.3">
      <c r="A4">
        <v>-50</v>
      </c>
      <c r="B4">
        <v>11.0224145650864</v>
      </c>
      <c r="C4">
        <v>12.105286717414803</v>
      </c>
      <c r="D4">
        <f>B4+C4</f>
        <v>23.127701282501203</v>
      </c>
      <c r="E4">
        <v>10.67076551312849</v>
      </c>
      <c r="F4">
        <v>11.671223433092321</v>
      </c>
      <c r="G4">
        <f>E4+F4</f>
        <v>22.341988946220809</v>
      </c>
      <c r="H4" s="6">
        <f>ABS(B4-E4)</f>
        <v>0.35164905195791007</v>
      </c>
      <c r="I4" s="6">
        <f>ABS(C4-F4)</f>
        <v>0.43406328432248209</v>
      </c>
      <c r="J4" s="6">
        <f>ABS(D4-G4)</f>
        <v>0.78571233628039394</v>
      </c>
      <c r="K4">
        <v>12.1000993251801</v>
      </c>
      <c r="L4">
        <v>12.082605957984903</v>
      </c>
      <c r="M4">
        <f>K4+L4</f>
        <v>24.182705283165003</v>
      </c>
      <c r="N4">
        <v>11.667880119777969</v>
      </c>
      <c r="O4">
        <v>11.669352177512559</v>
      </c>
      <c r="P4">
        <f>N4+O4</f>
        <v>23.337232297290527</v>
      </c>
      <c r="Q4" s="6">
        <f>ABS(K4-N4)</f>
        <v>0.43221920540213077</v>
      </c>
      <c r="R4" s="6">
        <f>ABS(L4-O4)</f>
        <v>0.41325378047234373</v>
      </c>
      <c r="S4" s="6">
        <f>ABS(M4-P4)</f>
        <v>0.84547298587447628</v>
      </c>
      <c r="T4">
        <v>9.0348333120345963</v>
      </c>
      <c r="U4">
        <v>12.132527232170105</v>
      </c>
      <c r="V4">
        <f>T4+U4</f>
        <v>21.167360544204701</v>
      </c>
      <c r="W4">
        <v>8.6712140400676336</v>
      </c>
      <c r="X4">
        <v>11.67029260348535</v>
      </c>
      <c r="Y4">
        <f>W4+X4</f>
        <v>20.341506643552982</v>
      </c>
      <c r="Z4" s="6">
        <f>ABS(T4-W4)</f>
        <v>0.36361927196696264</v>
      </c>
      <c r="AA4" s="6">
        <f>ABS(U4-X4)</f>
        <v>0.46223462868475451</v>
      </c>
      <c r="AB4" s="6">
        <f>ABS(V4-Y4)</f>
        <v>0.82585390065171893</v>
      </c>
      <c r="AC4">
        <v>5.6714834421741296</v>
      </c>
      <c r="AD4">
        <v>6.6337860878566062</v>
      </c>
      <c r="AE4">
        <f>AC4+AD4</f>
        <v>12.305269530030735</v>
      </c>
      <c r="AF4">
        <v>5.9705597162246988</v>
      </c>
      <c r="AG4">
        <v>7.0189923048019018</v>
      </c>
      <c r="AH4">
        <f>AF4+AG4</f>
        <v>12.989552021026601</v>
      </c>
      <c r="AI4" s="6">
        <f>ABS(AC4-AF4)</f>
        <v>0.29907627405056925</v>
      </c>
      <c r="AJ4" s="6">
        <f>ABS(AD4-AG4)</f>
        <v>0.38520621694529567</v>
      </c>
      <c r="AK4" s="6">
        <f>ABS(AE4-AH4)</f>
        <v>0.6842824909958658</v>
      </c>
    </row>
    <row r="5" spans="1:37" x14ac:dyDescent="0.3">
      <c r="A5">
        <v>-25</v>
      </c>
      <c r="B5">
        <v>11.077689528465299</v>
      </c>
      <c r="C5">
        <v>12.076769471168497</v>
      </c>
      <c r="D5">
        <f t="shared" ref="D5:D14" si="0">B5+C5</f>
        <v>23.154458999633796</v>
      </c>
      <c r="E5">
        <v>10.62795875731307</v>
      </c>
      <c r="F5">
        <v>11.672073166680571</v>
      </c>
      <c r="G5">
        <f t="shared" ref="G5:G14" si="1">E5+F5</f>
        <v>22.300031923993643</v>
      </c>
      <c r="H5" s="6">
        <f t="shared" ref="H5:H14" si="2">ABS(B5-E5)</f>
        <v>0.44973077115222893</v>
      </c>
      <c r="I5" s="6">
        <f t="shared" ref="I5:I14" si="3">ABS(C5-F5)</f>
        <v>0.40469630448792593</v>
      </c>
      <c r="J5" s="6">
        <f t="shared" ref="J5:J14" si="4">ABS(D5-G5)</f>
        <v>0.85442707564015308</v>
      </c>
      <c r="K5">
        <v>12.115527391433698</v>
      </c>
      <c r="L5">
        <v>12.058879137039202</v>
      </c>
      <c r="M5">
        <f t="shared" ref="M5:M14" si="5">K5+L5</f>
        <v>24.1744065284729</v>
      </c>
      <c r="N5">
        <v>11.67133874508311</v>
      </c>
      <c r="O5">
        <v>11.661820662629641</v>
      </c>
      <c r="P5">
        <f t="shared" ref="P5:P14" si="6">N5+O5</f>
        <v>23.333159407712749</v>
      </c>
      <c r="Q5" s="6">
        <f t="shared" ref="Q5:Q14" si="7">ABS(K5-N5)</f>
        <v>0.44418864635058775</v>
      </c>
      <c r="R5" s="6">
        <f t="shared" ref="R5:R14" si="8">ABS(L5-O5)</f>
        <v>0.39705847440956177</v>
      </c>
      <c r="S5" s="6">
        <f t="shared" ref="S5:S14" si="9">ABS(M5-P5)</f>
        <v>0.84124712076015129</v>
      </c>
      <c r="T5">
        <v>9.0774428844452046</v>
      </c>
      <c r="U5">
        <v>12.082139253616297</v>
      </c>
      <c r="V5">
        <f t="shared" ref="V5:V14" si="10">T5+U5</f>
        <v>21.159582138061502</v>
      </c>
      <c r="W5">
        <v>8.6706786299274743</v>
      </c>
      <c r="X5">
        <v>11.67060193453344</v>
      </c>
      <c r="Y5">
        <f t="shared" ref="Y5:Y14" si="11">W5+X5</f>
        <v>20.341280564460916</v>
      </c>
      <c r="Z5" s="6">
        <f t="shared" ref="Z5:Z14" si="12">ABS(T5-W5)</f>
        <v>0.40676425451773035</v>
      </c>
      <c r="AA5" s="6">
        <f t="shared" ref="AA5:AA14" si="13">ABS(U5-X5)</f>
        <v>0.41153731908285707</v>
      </c>
      <c r="AB5" s="6">
        <f t="shared" ref="AB5:AB14" si="14">ABS(V5-Y5)</f>
        <v>0.81830157360058564</v>
      </c>
      <c r="AC5">
        <v>5.6712341999911668</v>
      </c>
      <c r="AD5">
        <v>6.6697161873964648</v>
      </c>
      <c r="AE5">
        <f t="shared" ref="AE5:AE14" si="15">AC5+AD5</f>
        <v>12.340950387387633</v>
      </c>
      <c r="AF5">
        <v>5.9732955694197969</v>
      </c>
      <c r="AG5">
        <v>6.9912368059159</v>
      </c>
      <c r="AH5">
        <f t="shared" ref="AH5:AH14" si="16">AF5+AG5</f>
        <v>12.964532375335697</v>
      </c>
      <c r="AI5" s="6">
        <f t="shared" ref="AI5:AI14" si="17">ABS(AC5-AF5)</f>
        <v>0.30206136942863004</v>
      </c>
      <c r="AJ5" s="6">
        <f t="shared" ref="AJ5:AJ14" si="18">ABS(AD5-AG5)</f>
        <v>0.32152061851943525</v>
      </c>
      <c r="AK5" s="6">
        <f t="shared" ref="AK5:AK14" si="19">ABS(AE5-AH5)</f>
        <v>0.62358198794806441</v>
      </c>
    </row>
    <row r="6" spans="1:37" x14ac:dyDescent="0.3">
      <c r="A6">
        <v>0</v>
      </c>
      <c r="B6">
        <v>11.079084277153001</v>
      </c>
      <c r="C6">
        <v>12.060166597366297</v>
      </c>
      <c r="D6">
        <f t="shared" si="0"/>
        <v>23.139250874519298</v>
      </c>
      <c r="E6">
        <v>10.671288258405511</v>
      </c>
      <c r="F6">
        <v>11.66973037874085</v>
      </c>
      <c r="G6">
        <f t="shared" si="1"/>
        <v>22.341018637146362</v>
      </c>
      <c r="H6" s="6">
        <f t="shared" si="2"/>
        <v>0.40779601874749005</v>
      </c>
      <c r="I6" s="6">
        <f t="shared" si="3"/>
        <v>0.39043621862544775</v>
      </c>
      <c r="J6" s="6">
        <f t="shared" si="4"/>
        <v>0.79823223737293603</v>
      </c>
      <c r="K6">
        <v>12.1130919456482</v>
      </c>
      <c r="L6">
        <v>12.057956457138101</v>
      </c>
      <c r="M6">
        <f t="shared" si="5"/>
        <v>24.171048402786301</v>
      </c>
      <c r="N6">
        <v>11.670367687103941</v>
      </c>
      <c r="O6">
        <v>11.666438959797031</v>
      </c>
      <c r="P6">
        <f t="shared" si="6"/>
        <v>23.336806646900971</v>
      </c>
      <c r="Q6" s="6">
        <f t="shared" si="7"/>
        <v>0.4427242585442599</v>
      </c>
      <c r="R6" s="6">
        <f t="shared" si="8"/>
        <v>0.39151749734107</v>
      </c>
      <c r="S6" s="6">
        <f t="shared" si="9"/>
        <v>0.83424175588532989</v>
      </c>
      <c r="T6">
        <v>9.0768474340438026</v>
      </c>
      <c r="U6">
        <v>12.086125016212499</v>
      </c>
      <c r="V6">
        <f t="shared" si="10"/>
        <v>21.162972450256301</v>
      </c>
      <c r="W6">
        <v>8.6708118183514422</v>
      </c>
      <c r="X6">
        <v>11.659667421149891</v>
      </c>
      <c r="Y6">
        <f t="shared" si="11"/>
        <v>20.330479239501333</v>
      </c>
      <c r="Z6" s="6">
        <f t="shared" si="12"/>
        <v>0.40603561569236035</v>
      </c>
      <c r="AA6" s="6">
        <f t="shared" si="13"/>
        <v>0.42645759506260816</v>
      </c>
      <c r="AB6" s="6">
        <f t="shared" si="14"/>
        <v>0.83249321075496852</v>
      </c>
      <c r="AC6">
        <v>5.6732835475436341</v>
      </c>
      <c r="AD6">
        <v>6.6252627506642803</v>
      </c>
      <c r="AE6">
        <f t="shared" si="15"/>
        <v>12.298546298207913</v>
      </c>
      <c r="AF6">
        <v>5.9791642427444991</v>
      </c>
      <c r="AG6">
        <v>6.9660508632659024</v>
      </c>
      <c r="AH6">
        <f t="shared" si="16"/>
        <v>12.945215106010401</v>
      </c>
      <c r="AI6" s="6">
        <f t="shared" si="17"/>
        <v>0.30588069520086503</v>
      </c>
      <c r="AJ6" s="6">
        <f t="shared" si="18"/>
        <v>0.34078811260162212</v>
      </c>
      <c r="AK6" s="6">
        <f t="shared" si="19"/>
        <v>0.64666880780248803</v>
      </c>
    </row>
    <row r="7" spans="1:37" x14ac:dyDescent="0.3">
      <c r="A7">
        <v>25</v>
      </c>
      <c r="B7">
        <v>11.073757410049499</v>
      </c>
      <c r="C7">
        <v>12.062478661537099</v>
      </c>
      <c r="D7">
        <f t="shared" si="0"/>
        <v>23.136236071586598</v>
      </c>
      <c r="E7">
        <v>10.671286786758319</v>
      </c>
      <c r="F7">
        <v>11.669200887196</v>
      </c>
      <c r="G7">
        <f t="shared" si="1"/>
        <v>22.340487673954321</v>
      </c>
      <c r="H7" s="6">
        <f t="shared" si="2"/>
        <v>0.40247062329117966</v>
      </c>
      <c r="I7" s="6">
        <f t="shared" si="3"/>
        <v>0.39327777434109912</v>
      </c>
      <c r="J7" s="6">
        <f t="shared" si="4"/>
        <v>0.795748397632277</v>
      </c>
      <c r="K7">
        <v>12.110999822616602</v>
      </c>
      <c r="L7">
        <v>12.056631445884701</v>
      </c>
      <c r="M7">
        <f t="shared" si="5"/>
        <v>24.167631268501303</v>
      </c>
      <c r="N7">
        <v>11.663984121313661</v>
      </c>
      <c r="O7">
        <v>11.628620402736059</v>
      </c>
      <c r="P7">
        <f t="shared" si="6"/>
        <v>23.292604524049722</v>
      </c>
      <c r="Q7" s="6">
        <f t="shared" si="7"/>
        <v>0.44701570130294144</v>
      </c>
      <c r="R7" s="6">
        <f t="shared" si="8"/>
        <v>0.42801104314864169</v>
      </c>
      <c r="S7" s="6">
        <f t="shared" si="9"/>
        <v>0.87502674445158135</v>
      </c>
      <c r="T7">
        <v>9.0767455101013041</v>
      </c>
      <c r="U7">
        <v>12.0552206039429</v>
      </c>
      <c r="V7">
        <f t="shared" si="10"/>
        <v>21.131966114044204</v>
      </c>
      <c r="W7">
        <v>8.670699829944871</v>
      </c>
      <c r="X7">
        <v>11.66930233740711</v>
      </c>
      <c r="Y7">
        <f t="shared" si="11"/>
        <v>20.340002167351983</v>
      </c>
      <c r="Z7" s="6">
        <f t="shared" si="12"/>
        <v>0.40604568015643316</v>
      </c>
      <c r="AA7" s="6">
        <f t="shared" si="13"/>
        <v>0.3859182665357892</v>
      </c>
      <c r="AB7" s="6">
        <f t="shared" si="14"/>
        <v>0.79196394669222059</v>
      </c>
      <c r="AC7">
        <v>5.6685870650163519</v>
      </c>
      <c r="AD7">
        <v>5.1380843480161689</v>
      </c>
      <c r="AE7">
        <f t="shared" si="15"/>
        <v>10.806671413032522</v>
      </c>
      <c r="AF7">
        <v>5.9544932842253999</v>
      </c>
      <c r="AG7">
        <v>6.9864892959595011</v>
      </c>
      <c r="AH7">
        <f t="shared" si="16"/>
        <v>12.940982580184901</v>
      </c>
      <c r="AI7" s="6">
        <f t="shared" si="17"/>
        <v>0.28590621920904802</v>
      </c>
      <c r="AJ7" s="6">
        <f t="shared" si="18"/>
        <v>1.8484049479433322</v>
      </c>
      <c r="AK7" s="6">
        <f t="shared" si="19"/>
        <v>2.1343111671523793</v>
      </c>
    </row>
    <row r="8" spans="1:37" x14ac:dyDescent="0.3">
      <c r="A8">
        <v>50</v>
      </c>
      <c r="B8">
        <v>11.072475314140299</v>
      </c>
      <c r="C8">
        <v>12.0648819208145</v>
      </c>
      <c r="D8">
        <f t="shared" si="0"/>
        <v>23.137357234954798</v>
      </c>
      <c r="E8">
        <v>10.669883903644619</v>
      </c>
      <c r="F8">
        <v>11.670472713237279</v>
      </c>
      <c r="G8">
        <f t="shared" si="1"/>
        <v>22.340356616881898</v>
      </c>
      <c r="H8" s="6">
        <f t="shared" si="2"/>
        <v>0.40259141049567937</v>
      </c>
      <c r="I8" s="6">
        <f t="shared" si="3"/>
        <v>0.39440920757722076</v>
      </c>
      <c r="J8" s="6">
        <f t="shared" si="4"/>
        <v>0.79700061807290012</v>
      </c>
      <c r="K8">
        <v>12.110179066658002</v>
      </c>
      <c r="L8">
        <v>12.0581603050232</v>
      </c>
      <c r="M8">
        <f t="shared" si="5"/>
        <v>24.168339371681203</v>
      </c>
      <c r="N8">
        <v>11.671684137950219</v>
      </c>
      <c r="O8">
        <v>11.671457935638459</v>
      </c>
      <c r="P8">
        <f t="shared" si="6"/>
        <v>23.34314207358868</v>
      </c>
      <c r="Q8" s="6">
        <f t="shared" si="7"/>
        <v>0.43849492870778306</v>
      </c>
      <c r="R8" s="6">
        <f t="shared" si="8"/>
        <v>0.38670236938474112</v>
      </c>
      <c r="S8" s="6">
        <f t="shared" si="9"/>
        <v>0.8251972980925224</v>
      </c>
      <c r="T8">
        <v>9.121672511100801</v>
      </c>
      <c r="U8">
        <v>12.0237475633621</v>
      </c>
      <c r="V8">
        <f t="shared" si="10"/>
        <v>21.145420074462901</v>
      </c>
      <c r="W8">
        <v>8.6681756019989358</v>
      </c>
      <c r="X8">
        <v>11.67030410975026</v>
      </c>
      <c r="Y8">
        <f t="shared" si="11"/>
        <v>20.338479711749194</v>
      </c>
      <c r="Z8" s="6">
        <f t="shared" si="12"/>
        <v>0.45349690910186524</v>
      </c>
      <c r="AA8" s="6">
        <f t="shared" si="13"/>
        <v>0.35344345361184004</v>
      </c>
      <c r="AB8" s="6">
        <f t="shared" si="14"/>
        <v>0.80694036271370706</v>
      </c>
      <c r="AC8">
        <v>5.6705926866915028</v>
      </c>
      <c r="AD8">
        <v>6.2447616407830502</v>
      </c>
      <c r="AE8">
        <f t="shared" si="15"/>
        <v>11.915354327474553</v>
      </c>
      <c r="AF8">
        <v>5.9550672769547006</v>
      </c>
      <c r="AG8">
        <v>6.9887101650237966</v>
      </c>
      <c r="AH8">
        <f t="shared" si="16"/>
        <v>12.943777441978497</v>
      </c>
      <c r="AI8" s="6">
        <f t="shared" si="17"/>
        <v>0.28447459026319777</v>
      </c>
      <c r="AJ8" s="6">
        <f t="shared" si="18"/>
        <v>0.74394852424074642</v>
      </c>
      <c r="AK8" s="6">
        <f t="shared" si="19"/>
        <v>1.0284231145039442</v>
      </c>
    </row>
    <row r="9" spans="1:37" x14ac:dyDescent="0.3">
      <c r="A9">
        <v>75</v>
      </c>
      <c r="B9">
        <v>11.097870469093298</v>
      </c>
      <c r="C9">
        <v>12.032073140144405</v>
      </c>
      <c r="D9">
        <f t="shared" si="0"/>
        <v>23.129943609237703</v>
      </c>
      <c r="E9">
        <v>10.669198420074929</v>
      </c>
      <c r="F9">
        <v>11.64609043859755</v>
      </c>
      <c r="G9">
        <f t="shared" si="1"/>
        <v>22.315288858672481</v>
      </c>
      <c r="H9" s="6">
        <f t="shared" si="2"/>
        <v>0.42867204901836864</v>
      </c>
      <c r="I9" s="6">
        <f t="shared" si="3"/>
        <v>0.38598270154685466</v>
      </c>
      <c r="J9" s="6">
        <f t="shared" si="4"/>
        <v>0.81465475056522152</v>
      </c>
      <c r="K9">
        <v>12.129764556884801</v>
      </c>
      <c r="L9">
        <v>12.038059830665599</v>
      </c>
      <c r="M9">
        <f t="shared" si="5"/>
        <v>24.1678243875504</v>
      </c>
      <c r="N9">
        <v>11.669871926543101</v>
      </c>
      <c r="O9">
        <v>11.66638616444483</v>
      </c>
      <c r="P9">
        <f t="shared" si="6"/>
        <v>23.336258090987933</v>
      </c>
      <c r="Q9" s="6">
        <f t="shared" si="7"/>
        <v>0.45989263034170058</v>
      </c>
      <c r="R9" s="6">
        <f t="shared" si="8"/>
        <v>0.37167366622076869</v>
      </c>
      <c r="S9" s="6">
        <f t="shared" si="9"/>
        <v>0.8315662965624675</v>
      </c>
      <c r="T9">
        <v>9.1228044033050999</v>
      </c>
      <c r="U9">
        <v>12.009676694870002</v>
      </c>
      <c r="V9">
        <f t="shared" si="10"/>
        <v>21.132481098175102</v>
      </c>
      <c r="W9">
        <v>8.6697479952866985</v>
      </c>
      <c r="X9">
        <v>11.537468273482361</v>
      </c>
      <c r="Y9">
        <f t="shared" si="11"/>
        <v>20.207216268769059</v>
      </c>
      <c r="Z9" s="6">
        <f t="shared" si="12"/>
        <v>0.45305640801840141</v>
      </c>
      <c r="AA9" s="6">
        <f t="shared" si="13"/>
        <v>0.47220842138764141</v>
      </c>
      <c r="AB9" s="6">
        <f t="shared" si="14"/>
        <v>0.92526482940604282</v>
      </c>
      <c r="AC9">
        <v>5.6694751899236513</v>
      </c>
      <c r="AD9">
        <v>6.6638642677413689</v>
      </c>
      <c r="AE9">
        <f t="shared" si="15"/>
        <v>12.333339457665019</v>
      </c>
      <c r="AF9">
        <v>5.9593802690506017</v>
      </c>
      <c r="AG9">
        <v>6.9863283634185969</v>
      </c>
      <c r="AH9">
        <f t="shared" si="16"/>
        <v>12.945708632469199</v>
      </c>
      <c r="AI9" s="6">
        <f t="shared" si="17"/>
        <v>0.2899050791269504</v>
      </c>
      <c r="AJ9" s="6">
        <f t="shared" si="18"/>
        <v>0.322464095677228</v>
      </c>
      <c r="AK9" s="6">
        <f t="shared" si="19"/>
        <v>0.61236917480417929</v>
      </c>
    </row>
    <row r="10" spans="1:37" x14ac:dyDescent="0.3">
      <c r="A10">
        <v>100</v>
      </c>
      <c r="B10">
        <v>11.1252665519714</v>
      </c>
      <c r="C10">
        <v>12.007788419723603</v>
      </c>
      <c r="D10">
        <f t="shared" si="0"/>
        <v>23.133054971695003</v>
      </c>
      <c r="E10">
        <v>10.67162837005883</v>
      </c>
      <c r="F10">
        <v>11.67194480050563</v>
      </c>
      <c r="G10">
        <f t="shared" si="1"/>
        <v>22.343573170564461</v>
      </c>
      <c r="H10" s="6">
        <f t="shared" si="2"/>
        <v>0.4536381819125701</v>
      </c>
      <c r="I10" s="6">
        <f t="shared" si="3"/>
        <v>0.33584361921797345</v>
      </c>
      <c r="J10" s="6">
        <f t="shared" si="4"/>
        <v>0.78948180113054178</v>
      </c>
      <c r="K10">
        <v>12.1252262592315</v>
      </c>
      <c r="L10">
        <v>12.040881514549302</v>
      </c>
      <c r="M10">
        <f t="shared" si="5"/>
        <v>24.166107773780801</v>
      </c>
      <c r="N10">
        <v>11.66958491741295</v>
      </c>
      <c r="O10">
        <v>11.67080607548162</v>
      </c>
      <c r="P10">
        <f t="shared" si="6"/>
        <v>23.340390992894569</v>
      </c>
      <c r="Q10" s="6">
        <f t="shared" si="7"/>
        <v>0.45564134181855032</v>
      </c>
      <c r="R10" s="6">
        <f t="shared" si="8"/>
        <v>0.3700754390676817</v>
      </c>
      <c r="S10" s="6">
        <f t="shared" si="9"/>
        <v>0.82571678088623202</v>
      </c>
      <c r="T10">
        <v>9.0980261564255045</v>
      </c>
      <c r="U10">
        <v>12.044684886932394</v>
      </c>
      <c r="V10">
        <f t="shared" si="10"/>
        <v>21.142711043357899</v>
      </c>
      <c r="W10">
        <v>8.6719023892996585</v>
      </c>
      <c r="X10">
        <v>11.671472313090501</v>
      </c>
      <c r="Y10">
        <f t="shared" si="11"/>
        <v>20.343374702390157</v>
      </c>
      <c r="Z10" s="6">
        <f t="shared" si="12"/>
        <v>0.42612376712584599</v>
      </c>
      <c r="AA10" s="6">
        <f t="shared" si="13"/>
        <v>0.37321257384189366</v>
      </c>
      <c r="AB10" s="6">
        <f t="shared" si="14"/>
        <v>0.79933634096774142</v>
      </c>
      <c r="AC10">
        <v>5.6563093806965101</v>
      </c>
      <c r="AD10">
        <v>3.9519580454448682</v>
      </c>
      <c r="AE10">
        <f t="shared" si="15"/>
        <v>9.6082674261413779</v>
      </c>
      <c r="AF10">
        <v>5.8271795511245976</v>
      </c>
      <c r="AG10">
        <v>7.1557420492172028</v>
      </c>
      <c r="AH10">
        <f t="shared" si="16"/>
        <v>12.9829216003418</v>
      </c>
      <c r="AI10" s="6">
        <f t="shared" si="17"/>
        <v>0.1708701704280875</v>
      </c>
      <c r="AJ10" s="6">
        <f t="shared" si="18"/>
        <v>3.2037840037723346</v>
      </c>
      <c r="AK10" s="6">
        <f t="shared" si="19"/>
        <v>3.3746541742004226</v>
      </c>
    </row>
    <row r="11" spans="1:37" x14ac:dyDescent="0.3">
      <c r="A11">
        <v>125</v>
      </c>
      <c r="B11">
        <v>11.160709261894201</v>
      </c>
      <c r="C11">
        <v>11.967002749443001</v>
      </c>
      <c r="D11">
        <f t="shared" si="0"/>
        <v>23.127712011337202</v>
      </c>
      <c r="E11">
        <v>10.67194038677512</v>
      </c>
      <c r="F11">
        <v>11.67136292156329</v>
      </c>
      <c r="G11">
        <f t="shared" si="1"/>
        <v>22.34330330833841</v>
      </c>
      <c r="H11" s="6">
        <f t="shared" si="2"/>
        <v>0.48876887511908151</v>
      </c>
      <c r="I11" s="6">
        <f t="shared" si="3"/>
        <v>0.29563982787971099</v>
      </c>
      <c r="J11" s="6">
        <f t="shared" si="4"/>
        <v>0.78440870299879251</v>
      </c>
      <c r="K11">
        <v>12.148244976997301</v>
      </c>
      <c r="L11">
        <v>11.999731063842798</v>
      </c>
      <c r="M11">
        <f t="shared" si="5"/>
        <v>24.147976040840099</v>
      </c>
      <c r="N11">
        <v>11.668955426102521</v>
      </c>
      <c r="O11">
        <v>11.67032858591153</v>
      </c>
      <c r="P11">
        <f t="shared" si="6"/>
        <v>23.339284012014051</v>
      </c>
      <c r="Q11" s="6">
        <f t="shared" si="7"/>
        <v>0.47928955089478009</v>
      </c>
      <c r="R11" s="6">
        <f t="shared" si="8"/>
        <v>0.32940247793126787</v>
      </c>
      <c r="S11" s="6">
        <f t="shared" si="9"/>
        <v>0.80869202882604796</v>
      </c>
      <c r="T11">
        <v>9.1176599264145004</v>
      </c>
      <c r="U11">
        <v>12.026960849761899</v>
      </c>
      <c r="V11">
        <f t="shared" si="10"/>
        <v>21.144620776176399</v>
      </c>
      <c r="W11">
        <v>8.6712479421715347</v>
      </c>
      <c r="X11">
        <v>11.670318895162991</v>
      </c>
      <c r="Y11">
        <f t="shared" si="11"/>
        <v>20.341566837334526</v>
      </c>
      <c r="Z11" s="6">
        <f t="shared" si="12"/>
        <v>0.44641198424296569</v>
      </c>
      <c r="AA11" s="6">
        <f t="shared" si="13"/>
        <v>0.35664195459890813</v>
      </c>
      <c r="AB11" s="6">
        <f t="shared" si="14"/>
        <v>0.80305393884187382</v>
      </c>
      <c r="AC11">
        <v>5.6670293873539226</v>
      </c>
      <c r="AD11">
        <v>5.3977497723871517</v>
      </c>
      <c r="AE11">
        <f t="shared" si="15"/>
        <v>11.064779159741075</v>
      </c>
      <c r="AF11">
        <v>5.9123879671095985</v>
      </c>
      <c r="AG11">
        <v>7.0985412597657032</v>
      </c>
      <c r="AH11">
        <f t="shared" si="16"/>
        <v>13.010929226875302</v>
      </c>
      <c r="AI11" s="6">
        <f t="shared" si="17"/>
        <v>0.24535857975567588</v>
      </c>
      <c r="AJ11" s="6">
        <f t="shared" si="18"/>
        <v>1.7007914873785515</v>
      </c>
      <c r="AK11" s="6">
        <f t="shared" si="19"/>
        <v>1.9461500671342264</v>
      </c>
    </row>
    <row r="12" spans="1:37" x14ac:dyDescent="0.3">
      <c r="A12">
        <v>150</v>
      </c>
      <c r="B12">
        <v>11.138318181037899</v>
      </c>
      <c r="C12">
        <v>11.977372169494604</v>
      </c>
      <c r="D12">
        <f t="shared" si="0"/>
        <v>23.115690350532503</v>
      </c>
      <c r="E12">
        <v>10.67132282376628</v>
      </c>
      <c r="F12">
        <v>11.669882438545599</v>
      </c>
      <c r="G12">
        <f t="shared" si="1"/>
        <v>22.341205262311881</v>
      </c>
      <c r="H12" s="6">
        <f t="shared" si="2"/>
        <v>0.46699535727161923</v>
      </c>
      <c r="I12" s="6">
        <f t="shared" si="3"/>
        <v>0.30748973094900478</v>
      </c>
      <c r="J12" s="6">
        <f t="shared" si="4"/>
        <v>0.77448508822062223</v>
      </c>
      <c r="K12">
        <v>12.150004506111099</v>
      </c>
      <c r="L12">
        <v>12.015802860259999</v>
      </c>
      <c r="M12">
        <f t="shared" si="5"/>
        <v>24.165807366371098</v>
      </c>
      <c r="N12">
        <v>11.67181079583044</v>
      </c>
      <c r="O12">
        <v>11.667189644800111</v>
      </c>
      <c r="P12">
        <f t="shared" si="6"/>
        <v>23.339000440630549</v>
      </c>
      <c r="Q12" s="6">
        <f t="shared" si="7"/>
        <v>0.47819371028065838</v>
      </c>
      <c r="R12" s="6">
        <f t="shared" si="8"/>
        <v>0.34861321545988844</v>
      </c>
      <c r="S12" s="6">
        <f t="shared" si="9"/>
        <v>0.82680692574054859</v>
      </c>
      <c r="T12">
        <v>9.1172361373902042</v>
      </c>
      <c r="U12">
        <v>12.036337852477999</v>
      </c>
      <c r="V12">
        <f t="shared" si="10"/>
        <v>21.153573989868203</v>
      </c>
      <c r="W12">
        <v>8.6696174723093673</v>
      </c>
      <c r="X12">
        <v>11.49551339524686</v>
      </c>
      <c r="Y12">
        <f t="shared" si="11"/>
        <v>20.165130867556229</v>
      </c>
      <c r="Z12" s="6">
        <f t="shared" si="12"/>
        <v>0.44761866508083692</v>
      </c>
      <c r="AA12" s="6">
        <f t="shared" si="13"/>
        <v>0.54082445723113892</v>
      </c>
      <c r="AB12" s="6">
        <f t="shared" si="14"/>
        <v>0.98844312231197407</v>
      </c>
      <c r="AC12">
        <v>5.670049255130154</v>
      </c>
      <c r="AD12">
        <v>6.6303357506268279</v>
      </c>
      <c r="AE12">
        <f t="shared" si="15"/>
        <v>12.300385005756983</v>
      </c>
      <c r="AF12">
        <v>5.9749585390090978</v>
      </c>
      <c r="AG12">
        <v>7.0130538940430043</v>
      </c>
      <c r="AH12">
        <f t="shared" si="16"/>
        <v>12.988012433052102</v>
      </c>
      <c r="AI12" s="6">
        <f t="shared" si="17"/>
        <v>0.30490928387894378</v>
      </c>
      <c r="AJ12" s="6">
        <f t="shared" si="18"/>
        <v>0.38271814341617638</v>
      </c>
      <c r="AK12" s="6">
        <f t="shared" si="19"/>
        <v>0.68762742729511928</v>
      </c>
    </row>
    <row r="13" spans="1:37" x14ac:dyDescent="0.3">
      <c r="A13">
        <v>175</v>
      </c>
      <c r="B13">
        <v>11.163311004638601</v>
      </c>
      <c r="C13">
        <v>11.963553428649899</v>
      </c>
      <c r="D13">
        <f t="shared" si="0"/>
        <v>23.1268644332885</v>
      </c>
      <c r="E13">
        <v>10.67160767342844</v>
      </c>
      <c r="F13">
        <v>11.6688385730222</v>
      </c>
      <c r="G13">
        <f t="shared" si="1"/>
        <v>22.340446246450639</v>
      </c>
      <c r="H13" s="6">
        <f t="shared" si="2"/>
        <v>0.49170333121016085</v>
      </c>
      <c r="I13" s="6">
        <f t="shared" si="3"/>
        <v>0.29471485562769928</v>
      </c>
      <c r="J13" s="6">
        <f t="shared" si="4"/>
        <v>0.78641818683786013</v>
      </c>
      <c r="K13">
        <v>12.172814011573799</v>
      </c>
      <c r="L13">
        <v>11.9893991947174</v>
      </c>
      <c r="M13">
        <f t="shared" si="5"/>
        <v>24.162213206291199</v>
      </c>
      <c r="N13">
        <v>11.668372837701749</v>
      </c>
      <c r="O13">
        <v>11.67136747564706</v>
      </c>
      <c r="P13">
        <f t="shared" si="6"/>
        <v>23.339740313348809</v>
      </c>
      <c r="Q13" s="6">
        <f t="shared" si="7"/>
        <v>0.50444117387204912</v>
      </c>
      <c r="R13" s="6">
        <f t="shared" si="8"/>
        <v>0.31803171907034056</v>
      </c>
      <c r="S13" s="6">
        <f t="shared" si="9"/>
        <v>0.82247289294238968</v>
      </c>
      <c r="T13">
        <v>9.1446805000305034</v>
      </c>
      <c r="U13">
        <v>12.016671895980799</v>
      </c>
      <c r="V13">
        <f t="shared" si="10"/>
        <v>21.161352396011303</v>
      </c>
      <c r="W13">
        <v>8.6697860940616085</v>
      </c>
      <c r="X13">
        <v>11.577604520318021</v>
      </c>
      <c r="Y13">
        <f t="shared" si="11"/>
        <v>20.247390614379629</v>
      </c>
      <c r="Z13" s="6">
        <f t="shared" si="12"/>
        <v>0.47489440596889487</v>
      </c>
      <c r="AA13" s="6">
        <f t="shared" si="13"/>
        <v>0.43906737566277876</v>
      </c>
      <c r="AB13" s="6">
        <f t="shared" si="14"/>
        <v>0.91396178163167363</v>
      </c>
      <c r="AC13">
        <v>5.6697368847036476</v>
      </c>
      <c r="AD13">
        <v>6.6656096086617582</v>
      </c>
      <c r="AE13">
        <f t="shared" si="15"/>
        <v>12.335346493365407</v>
      </c>
      <c r="AF13">
        <v>5.9669011831282965</v>
      </c>
      <c r="AG13">
        <v>7.019866704940803</v>
      </c>
      <c r="AH13">
        <f t="shared" si="16"/>
        <v>12.9867678880691</v>
      </c>
      <c r="AI13" s="6">
        <f t="shared" si="17"/>
        <v>0.29716429842464898</v>
      </c>
      <c r="AJ13" s="6">
        <f t="shared" si="18"/>
        <v>0.35425709627904478</v>
      </c>
      <c r="AK13" s="6">
        <f t="shared" si="19"/>
        <v>0.65142139470369287</v>
      </c>
    </row>
    <row r="14" spans="1:37" x14ac:dyDescent="0.3">
      <c r="A14">
        <v>200</v>
      </c>
      <c r="B14">
        <v>11.160065531730602</v>
      </c>
      <c r="C14">
        <v>11.955093741416999</v>
      </c>
      <c r="D14">
        <f t="shared" si="0"/>
        <v>23.115159273147601</v>
      </c>
      <c r="E14">
        <v>10.671392560848661</v>
      </c>
      <c r="F14">
        <v>11.665889083506659</v>
      </c>
      <c r="G14">
        <f t="shared" si="1"/>
        <v>22.337281644355322</v>
      </c>
      <c r="H14" s="6">
        <f t="shared" si="2"/>
        <v>0.48867297088194128</v>
      </c>
      <c r="I14" s="6">
        <f t="shared" si="3"/>
        <v>0.28920465791033934</v>
      </c>
      <c r="J14" s="6">
        <f t="shared" si="4"/>
        <v>0.77787762879227884</v>
      </c>
      <c r="K14">
        <v>12.1919703483582</v>
      </c>
      <c r="L14">
        <v>11.956542134284998</v>
      </c>
      <c r="M14">
        <f t="shared" si="5"/>
        <v>24.148512482643198</v>
      </c>
      <c r="N14">
        <v>11.66927599670465</v>
      </c>
      <c r="O14">
        <v>11.668328847774889</v>
      </c>
      <c r="P14">
        <f t="shared" si="6"/>
        <v>23.337604844479539</v>
      </c>
      <c r="Q14" s="6">
        <f t="shared" si="7"/>
        <v>0.52269435165355027</v>
      </c>
      <c r="R14" s="6">
        <f t="shared" si="8"/>
        <v>0.2882132865101088</v>
      </c>
      <c r="S14" s="6">
        <f t="shared" si="9"/>
        <v>0.81090763816365907</v>
      </c>
      <c r="T14">
        <v>9.142717123031602</v>
      </c>
      <c r="U14">
        <v>12.000696659088199</v>
      </c>
      <c r="V14">
        <f t="shared" si="10"/>
        <v>21.143413782119801</v>
      </c>
      <c r="W14">
        <v>8.6694196637202179</v>
      </c>
      <c r="X14">
        <v>11.65098679642883</v>
      </c>
      <c r="Y14">
        <f t="shared" si="11"/>
        <v>20.320406460149048</v>
      </c>
      <c r="Z14" s="6">
        <f t="shared" si="12"/>
        <v>0.47329745931138412</v>
      </c>
      <c r="AA14" s="6">
        <f t="shared" si="13"/>
        <v>0.34970986265936865</v>
      </c>
      <c r="AB14" s="6">
        <f t="shared" si="14"/>
        <v>0.82300732197075277</v>
      </c>
      <c r="AC14">
        <v>5.6681908194879984</v>
      </c>
      <c r="AD14">
        <v>6.3511075993407742</v>
      </c>
      <c r="AE14">
        <f t="shared" si="15"/>
        <v>12.019298418828772</v>
      </c>
      <c r="AF14">
        <v>5.968381762504503</v>
      </c>
      <c r="AG14">
        <v>6.9969606399535991</v>
      </c>
      <c r="AH14">
        <f t="shared" si="16"/>
        <v>12.965342402458102</v>
      </c>
      <c r="AI14" s="6">
        <f t="shared" si="17"/>
        <v>0.30019094301650462</v>
      </c>
      <c r="AJ14" s="6">
        <f t="shared" si="18"/>
        <v>0.64585304061282489</v>
      </c>
      <c r="AK14" s="6">
        <f t="shared" si="19"/>
        <v>0.9460439836293304</v>
      </c>
    </row>
    <row r="16" spans="1:37" x14ac:dyDescent="0.3">
      <c r="H16" s="25" t="s">
        <v>3</v>
      </c>
      <c r="I16" s="25"/>
      <c r="J16" s="25"/>
      <c r="Q16" s="25" t="s">
        <v>4</v>
      </c>
      <c r="R16" s="25"/>
      <c r="S16" s="25"/>
      <c r="Z16" s="25" t="s">
        <v>5</v>
      </c>
      <c r="AA16" s="25"/>
      <c r="AB16" s="25"/>
      <c r="AI16" s="25" t="s">
        <v>6</v>
      </c>
      <c r="AJ16" s="25"/>
      <c r="AK16" s="25"/>
    </row>
    <row r="17" spans="5:37" x14ac:dyDescent="0.3">
      <c r="H17" t="s">
        <v>38</v>
      </c>
      <c r="I17" t="s">
        <v>39</v>
      </c>
      <c r="J17" t="s">
        <v>40</v>
      </c>
      <c r="Q17" t="s">
        <v>38</v>
      </c>
      <c r="R17" t="s">
        <v>39</v>
      </c>
      <c r="S17" t="s">
        <v>40</v>
      </c>
      <c r="Z17" t="s">
        <v>38</v>
      </c>
      <c r="AA17" t="s">
        <v>39</v>
      </c>
      <c r="AB17" t="s">
        <v>40</v>
      </c>
      <c r="AI17" t="s">
        <v>38</v>
      </c>
      <c r="AJ17" t="s">
        <v>39</v>
      </c>
      <c r="AK17" t="s">
        <v>40</v>
      </c>
    </row>
    <row r="18" spans="5:37" x14ac:dyDescent="0.3">
      <c r="E18" s="19" t="s">
        <v>8</v>
      </c>
      <c r="F18" s="19"/>
      <c r="G18" s="19"/>
      <c r="H18" s="7">
        <f>AVERAGE(H4:H14)</f>
        <v>0.43933533100529359</v>
      </c>
      <c r="I18" s="7">
        <f t="shared" ref="I18:J18" si="20">AVERAGE(I4:I14)</f>
        <v>0.35688710749870528</v>
      </c>
      <c r="J18" s="7">
        <f t="shared" si="20"/>
        <v>0.79622243850399788</v>
      </c>
      <c r="N18" s="19" t="s">
        <v>8</v>
      </c>
      <c r="O18" s="19"/>
      <c r="P18" s="19"/>
      <c r="Q18" s="7">
        <f>AVERAGE(Q4:Q14)</f>
        <v>0.46407231810627197</v>
      </c>
      <c r="R18" s="7">
        <f t="shared" ref="R18:S18" si="21">AVERAGE(R4:R14)</f>
        <v>0.36750481536512858</v>
      </c>
      <c r="S18" s="7">
        <f t="shared" si="21"/>
        <v>0.8315771334714005</v>
      </c>
      <c r="W18" s="19" t="s">
        <v>8</v>
      </c>
      <c r="X18" s="19"/>
      <c r="Y18" s="19"/>
      <c r="Z18" s="7">
        <f>AVERAGE(Z4:Z14)</f>
        <v>0.43248767465306187</v>
      </c>
      <c r="AA18" s="7">
        <f t="shared" ref="AA18:AB18" si="22">AVERAGE(AA4:AA14)</f>
        <v>0.41556871894177988</v>
      </c>
      <c r="AB18" s="7">
        <f t="shared" si="22"/>
        <v>0.84805639359484175</v>
      </c>
      <c r="AF18" s="19" t="s">
        <v>8</v>
      </c>
      <c r="AG18" s="19"/>
      <c r="AH18" s="19"/>
      <c r="AI18" s="7">
        <f>AVERAGE(AI4:AI14)</f>
        <v>0.28052704570755649</v>
      </c>
      <c r="AJ18" s="7">
        <f t="shared" ref="AJ18:AK18" si="23">AVERAGE(AJ4:AJ14)</f>
        <v>0.93179420794423573</v>
      </c>
      <c r="AK18" s="7">
        <f t="shared" si="23"/>
        <v>1.212321253651792</v>
      </c>
    </row>
    <row r="19" spans="5:37" x14ac:dyDescent="0.3">
      <c r="E19" s="19" t="s">
        <v>9</v>
      </c>
      <c r="F19" s="19"/>
      <c r="G19" s="19"/>
      <c r="H19" s="7">
        <f>_xlfn.STDEV.P(H4:H14)</f>
        <v>4.2857521789752398E-2</v>
      </c>
      <c r="I19" s="7">
        <f t="shared" ref="I19:J19" si="24">_xlfn.STDEV.P(I4:I14)</f>
        <v>5.0476482389479035E-2</v>
      </c>
      <c r="J19" s="7">
        <f t="shared" si="24"/>
        <v>2.1176809916701626E-2</v>
      </c>
      <c r="N19" s="19" t="s">
        <v>9</v>
      </c>
      <c r="O19" s="19"/>
      <c r="P19" s="19"/>
      <c r="Q19" s="7">
        <f>_xlfn.STDEV.P(Q4:Q14)</f>
        <v>2.7628325778288356E-2</v>
      </c>
      <c r="R19" s="7">
        <f t="shared" ref="R19:S19" si="25">_xlfn.STDEV.P(R4:R14)</f>
        <v>4.0608941068372192E-2</v>
      </c>
      <c r="S19" s="7">
        <f t="shared" si="25"/>
        <v>1.7355157872947505E-2</v>
      </c>
      <c r="W19" s="19" t="s">
        <v>9</v>
      </c>
      <c r="X19" s="19"/>
      <c r="Y19" s="19"/>
      <c r="Z19" s="7">
        <f>_xlfn.STDEV.P(Z4:Z14)</f>
        <v>3.2466772420206978E-2</v>
      </c>
      <c r="AA19" s="7">
        <f t="shared" ref="AA19:AB19" si="26">_xlfn.STDEV.P(AA4:AA14)</f>
        <v>5.7290537954329764E-2</v>
      </c>
      <c r="AB19" s="7">
        <f t="shared" si="26"/>
        <v>6.1420177351238614E-2</v>
      </c>
      <c r="AF19" s="19" t="s">
        <v>9</v>
      </c>
      <c r="AG19" s="19"/>
      <c r="AH19" s="19"/>
      <c r="AI19" s="7">
        <f>_xlfn.STDEV.P(AI4:AI14)</f>
        <v>3.826045490668227E-2</v>
      </c>
      <c r="AJ19" s="7">
        <f t="shared" ref="AJ19:AK19" si="27">_xlfn.STDEV.P(AJ4:AJ14)</f>
        <v>0.8912358817015783</v>
      </c>
      <c r="AK19" s="7">
        <f t="shared" si="27"/>
        <v>0.85621960888001603</v>
      </c>
    </row>
    <row r="20" spans="5:37" x14ac:dyDescent="0.3">
      <c r="H20" s="8"/>
      <c r="I20" s="8"/>
      <c r="J20" s="8"/>
      <c r="Q20" s="8"/>
      <c r="R20" s="8"/>
      <c r="S20" s="8"/>
      <c r="Z20" s="8"/>
      <c r="AA20" s="8"/>
      <c r="AB20" s="8"/>
      <c r="AI20" s="8"/>
      <c r="AJ20" s="8"/>
      <c r="AK20" s="8"/>
    </row>
    <row r="21" spans="5:37" x14ac:dyDescent="0.3">
      <c r="E21" s="19" t="s">
        <v>37</v>
      </c>
      <c r="F21" s="19"/>
      <c r="G21" s="19"/>
      <c r="H21" s="8">
        <f>AVERAGE(B4:B14,E4:E14)</f>
        <v>10.886783434066491</v>
      </c>
      <c r="I21" s="8">
        <f>AVERAGE(C4:C14,F4:F14)</f>
        <v>11.846326175084618</v>
      </c>
      <c r="J21" s="8">
        <f>AVERAGE(D4:D14,G4:G14)</f>
        <v>22.733109609151111</v>
      </c>
      <c r="N21" s="19" t="s">
        <v>37</v>
      </c>
      <c r="O21" s="19"/>
      <c r="P21" s="19"/>
      <c r="Q21" s="8">
        <f>AVERAGE(K4:K14,N4:N14)</f>
        <v>11.901411314646259</v>
      </c>
      <c r="R21" s="8">
        <f>AVERAGE(L4:L14,O4:O14)</f>
        <v>11.848488492443819</v>
      </c>
      <c r="S21" s="8">
        <f>AVERAGE(M4:M14,P4:P14)</f>
        <v>23.749899807090074</v>
      </c>
      <c r="W21" s="19" t="s">
        <v>37</v>
      </c>
      <c r="X21" s="19"/>
      <c r="Y21" s="19"/>
      <c r="Z21" s="8">
        <f>AVERAGE(T4:T14,W4:W14)</f>
        <v>8.8865439716119354</v>
      </c>
      <c r="AA21" s="8">
        <f>AVERAGE(U4:U14,X4:X14)</f>
        <v>11.839014595839584</v>
      </c>
      <c r="AB21" s="8">
        <f>AVERAGE(V4:V14,Y4:Y14)</f>
        <v>20.725558567451518</v>
      </c>
      <c r="AF21" s="19" t="s">
        <v>37</v>
      </c>
      <c r="AG21" s="19"/>
      <c r="AH21" s="19"/>
      <c r="AI21" s="8">
        <f>AVERAGE(AC4:AC14,AF4:AF14)</f>
        <v>5.808988237282203</v>
      </c>
      <c r="AJ21" s="8">
        <f>AVERAGE(AD4:AD14,AG4:AG14)</f>
        <v>6.5542822002375116</v>
      </c>
      <c r="AK21" s="8">
        <f>AVERAGE(AE4:AE14,AH4:AH14)</f>
        <v>12.363270437519713</v>
      </c>
    </row>
    <row r="22" spans="5:37" x14ac:dyDescent="0.3">
      <c r="E22" s="19" t="s">
        <v>41</v>
      </c>
      <c r="F22" s="19"/>
      <c r="G22" s="19"/>
      <c r="H22" s="7">
        <f>H18*100/H21</f>
        <v>4.0354925186675699</v>
      </c>
      <c r="I22" s="7">
        <f t="shared" ref="I22:J22" si="28">I18*100/I21</f>
        <v>3.0126395493762104</v>
      </c>
      <c r="J22" s="7">
        <f t="shared" si="28"/>
        <v>3.5024792128899165</v>
      </c>
      <c r="N22" s="19" t="s">
        <v>41</v>
      </c>
      <c r="O22" s="19"/>
      <c r="P22" s="19"/>
      <c r="Q22" s="7">
        <f>Q18*100/Q21</f>
        <v>3.8993049297873577</v>
      </c>
      <c r="R22" s="7">
        <f t="shared" ref="R22" si="29">R18*100/R21</f>
        <v>3.1017020913637956</v>
      </c>
      <c r="S22" s="7">
        <f t="shared" ref="S22" si="30">S18*100/S21</f>
        <v>3.5013921752341419</v>
      </c>
      <c r="W22" s="19" t="s">
        <v>41</v>
      </c>
      <c r="X22" s="19"/>
      <c r="Y22" s="19"/>
      <c r="Z22" s="7">
        <f>Z18*100/Z21</f>
        <v>4.8667702093709746</v>
      </c>
      <c r="AA22" s="7">
        <f t="shared" ref="AA22" si="31">AA18*100/AA21</f>
        <v>3.5101630763071889</v>
      </c>
      <c r="AB22" s="7">
        <f t="shared" ref="AB22" si="32">AB18*100/AB21</f>
        <v>4.0918385424201453</v>
      </c>
      <c r="AF22" s="19" t="s">
        <v>41</v>
      </c>
      <c r="AG22" s="19"/>
      <c r="AH22" s="19"/>
      <c r="AI22" s="7">
        <f>AI18*100/AI21</f>
        <v>4.8291894259163461</v>
      </c>
      <c r="AJ22" s="7">
        <f t="shared" ref="AJ22" si="33">AJ18*100/AJ21</f>
        <v>14.216571387641347</v>
      </c>
      <c r="AK22" s="7">
        <f t="shared" ref="AK22" si="34">AK18*100/AK21</f>
        <v>9.8058297743991165</v>
      </c>
    </row>
    <row r="31" spans="5:37" x14ac:dyDescent="0.3">
      <c r="AG31" t="s">
        <v>44</v>
      </c>
    </row>
  </sheetData>
  <mergeCells count="37">
    <mergeCell ref="A1:A3"/>
    <mergeCell ref="B2:D2"/>
    <mergeCell ref="E2:G2"/>
    <mergeCell ref="H2:J2"/>
    <mergeCell ref="B1:J1"/>
    <mergeCell ref="AC1:AK1"/>
    <mergeCell ref="AC2:AE2"/>
    <mergeCell ref="AF2:AH2"/>
    <mergeCell ref="AI2:AK2"/>
    <mergeCell ref="H16:J16"/>
    <mergeCell ref="Q16:S16"/>
    <mergeCell ref="Z16:AB16"/>
    <mergeCell ref="AI16:AK16"/>
    <mergeCell ref="K1:S1"/>
    <mergeCell ref="K2:M2"/>
    <mergeCell ref="N2:P2"/>
    <mergeCell ref="Q2:S2"/>
    <mergeCell ref="T1:AB1"/>
    <mergeCell ref="T2:V2"/>
    <mergeCell ref="W2:Y2"/>
    <mergeCell ref="Z2:AB2"/>
    <mergeCell ref="E18:G18"/>
    <mergeCell ref="E19:G19"/>
    <mergeCell ref="E21:G21"/>
    <mergeCell ref="E22:G22"/>
    <mergeCell ref="N18:P18"/>
    <mergeCell ref="N19:P19"/>
    <mergeCell ref="N21:P21"/>
    <mergeCell ref="N22:P22"/>
    <mergeCell ref="W18:Y18"/>
    <mergeCell ref="W19:Y19"/>
    <mergeCell ref="W21:Y21"/>
    <mergeCell ref="W22:Y22"/>
    <mergeCell ref="AF18:AH18"/>
    <mergeCell ref="AF19:AH19"/>
    <mergeCell ref="AF21:AH21"/>
    <mergeCell ref="AF22:AH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D5D9-B4F2-44A5-8E9D-0CB5692AA9F8}">
  <dimension ref="A1:AK22"/>
  <sheetViews>
    <sheetView topLeftCell="K1" zoomScale="70" zoomScaleNormal="70" workbookViewId="0">
      <selection activeCell="O38" sqref="O38"/>
    </sheetView>
  </sheetViews>
  <sheetFormatPr defaultRowHeight="14.4" x14ac:dyDescent="0.3"/>
  <cols>
    <col min="2" max="37" width="10.77734375" customWidth="1"/>
  </cols>
  <sheetData>
    <row r="1" spans="1:37" x14ac:dyDescent="0.3">
      <c r="A1" s="26" t="s">
        <v>33</v>
      </c>
      <c r="B1" s="21" t="s">
        <v>3</v>
      </c>
      <c r="C1" s="21"/>
      <c r="D1" s="21"/>
      <c r="E1" s="21"/>
      <c r="F1" s="21"/>
      <c r="G1" s="21"/>
      <c r="H1" s="21"/>
      <c r="I1" s="21"/>
      <c r="J1" s="21"/>
      <c r="K1" s="22" t="s">
        <v>4</v>
      </c>
      <c r="L1" s="22"/>
      <c r="M1" s="22"/>
      <c r="N1" s="22"/>
      <c r="O1" s="22"/>
      <c r="P1" s="22"/>
      <c r="Q1" s="22"/>
      <c r="R1" s="22"/>
      <c r="S1" s="22"/>
      <c r="T1" s="21" t="s">
        <v>5</v>
      </c>
      <c r="U1" s="21"/>
      <c r="V1" s="21"/>
      <c r="W1" s="21"/>
      <c r="X1" s="21"/>
      <c r="Y1" s="21"/>
      <c r="Z1" s="21"/>
      <c r="AA1" s="21"/>
      <c r="AB1" s="21"/>
      <c r="AC1" s="22" t="s">
        <v>6</v>
      </c>
      <c r="AD1" s="22"/>
      <c r="AE1" s="22"/>
      <c r="AF1" s="22"/>
      <c r="AG1" s="22"/>
      <c r="AH1" s="22"/>
      <c r="AI1" s="22"/>
      <c r="AJ1" s="22"/>
      <c r="AK1" s="22"/>
    </row>
    <row r="2" spans="1:37" x14ac:dyDescent="0.3">
      <c r="A2" s="26"/>
      <c r="B2" s="23" t="s">
        <v>2</v>
      </c>
      <c r="C2" s="23"/>
      <c r="D2" s="23"/>
      <c r="E2" s="24" t="s">
        <v>1</v>
      </c>
      <c r="F2" s="24"/>
      <c r="G2" s="24"/>
      <c r="H2" s="20" t="s">
        <v>7</v>
      </c>
      <c r="I2" s="20"/>
      <c r="J2" s="20"/>
      <c r="K2" s="23" t="s">
        <v>2</v>
      </c>
      <c r="L2" s="23"/>
      <c r="M2" s="23"/>
      <c r="N2" s="24" t="s">
        <v>1</v>
      </c>
      <c r="O2" s="24"/>
      <c r="P2" s="24"/>
      <c r="Q2" s="20" t="s">
        <v>7</v>
      </c>
      <c r="R2" s="20"/>
      <c r="S2" s="20"/>
      <c r="T2" s="23" t="s">
        <v>2</v>
      </c>
      <c r="U2" s="23"/>
      <c r="V2" s="23"/>
      <c r="W2" s="24" t="s">
        <v>1</v>
      </c>
      <c r="X2" s="24"/>
      <c r="Y2" s="24"/>
      <c r="Z2" s="20" t="s">
        <v>7</v>
      </c>
      <c r="AA2" s="20"/>
      <c r="AB2" s="20"/>
      <c r="AC2" s="23" t="s">
        <v>2</v>
      </c>
      <c r="AD2" s="23"/>
      <c r="AE2" s="23"/>
      <c r="AF2" s="24" t="s">
        <v>1</v>
      </c>
      <c r="AG2" s="24"/>
      <c r="AH2" s="24"/>
      <c r="AI2" s="20" t="s">
        <v>7</v>
      </c>
      <c r="AJ2" s="20"/>
      <c r="AK2" s="20"/>
    </row>
    <row r="3" spans="1:37" x14ac:dyDescent="0.3">
      <c r="A3" s="26"/>
      <c r="B3" t="s">
        <v>34</v>
      </c>
      <c r="C3" t="s">
        <v>35</v>
      </c>
      <c r="D3" t="s">
        <v>36</v>
      </c>
      <c r="E3" t="s">
        <v>34</v>
      </c>
      <c r="F3" t="s">
        <v>35</v>
      </c>
      <c r="G3" t="s">
        <v>36</v>
      </c>
      <c r="H3" t="s">
        <v>34</v>
      </c>
      <c r="I3" t="s">
        <v>35</v>
      </c>
      <c r="J3" t="s">
        <v>36</v>
      </c>
      <c r="K3" t="s">
        <v>34</v>
      </c>
      <c r="L3" t="s">
        <v>35</v>
      </c>
      <c r="M3" t="s">
        <v>36</v>
      </c>
      <c r="N3" t="s">
        <v>34</v>
      </c>
      <c r="O3" t="s">
        <v>35</v>
      </c>
      <c r="P3" t="s">
        <v>36</v>
      </c>
      <c r="Q3" t="s">
        <v>34</v>
      </c>
      <c r="R3" t="s">
        <v>35</v>
      </c>
      <c r="S3" t="s">
        <v>36</v>
      </c>
      <c r="T3" t="s">
        <v>34</v>
      </c>
      <c r="U3" t="s">
        <v>35</v>
      </c>
      <c r="V3" t="s">
        <v>36</v>
      </c>
      <c r="W3" t="s">
        <v>34</v>
      </c>
      <c r="X3" t="s">
        <v>35</v>
      </c>
      <c r="Y3" t="s">
        <v>36</v>
      </c>
      <c r="Z3" t="s">
        <v>34</v>
      </c>
      <c r="AA3" t="s">
        <v>35</v>
      </c>
      <c r="AB3" t="s">
        <v>36</v>
      </c>
      <c r="AC3" t="s">
        <v>34</v>
      </c>
      <c r="AD3" t="s">
        <v>35</v>
      </c>
      <c r="AE3" t="s">
        <v>36</v>
      </c>
      <c r="AF3" t="s">
        <v>34</v>
      </c>
      <c r="AG3" t="s">
        <v>35</v>
      </c>
      <c r="AH3" t="s">
        <v>36</v>
      </c>
      <c r="AI3" t="s">
        <v>34</v>
      </c>
      <c r="AJ3" t="s">
        <v>35</v>
      </c>
      <c r="AK3" t="s">
        <v>36</v>
      </c>
    </row>
    <row r="4" spans="1:37" x14ac:dyDescent="0.3">
      <c r="A4">
        <v>-50</v>
      </c>
      <c r="B4">
        <v>8.5583969950675964</v>
      </c>
      <c r="C4">
        <v>9.0446375310421043</v>
      </c>
      <c r="D4">
        <f>B4+C4</f>
        <v>17.603034526109703</v>
      </c>
      <c r="E4">
        <v>9.278926707677698</v>
      </c>
      <c r="F4">
        <v>9.2077047608431144</v>
      </c>
      <c r="G4">
        <f>E4+F4</f>
        <v>18.486631468520812</v>
      </c>
      <c r="H4" s="6">
        <f>ABS(B4-E4)</f>
        <v>0.72052971261010157</v>
      </c>
      <c r="I4" s="6">
        <f>ABS(C4-F4)</f>
        <v>0.16306722980101007</v>
      </c>
      <c r="J4" s="6">
        <f>ABS(D4-G4)</f>
        <v>0.88359694241110986</v>
      </c>
      <c r="K4">
        <v>8.6234007962048018</v>
      </c>
      <c r="L4">
        <v>9.5036971382796782</v>
      </c>
      <c r="M4">
        <f>K4+L4</f>
        <v>18.127097934484482</v>
      </c>
      <c r="N4">
        <v>9.0489281219896878</v>
      </c>
      <c r="O4">
        <v>9.0730904760346007</v>
      </c>
      <c r="P4">
        <f>N4+O4</f>
        <v>18.12201859802429</v>
      </c>
      <c r="Q4" s="6">
        <f>ABS(K4-N4)</f>
        <v>0.42552732578488595</v>
      </c>
      <c r="R4" s="6">
        <f>ABS(L4-O4)</f>
        <v>0.43060666224507749</v>
      </c>
      <c r="S4" s="6">
        <f>ABS(M4-P4)</f>
        <v>5.0793364601915414E-3</v>
      </c>
      <c r="T4">
        <v>8.0550180748105049</v>
      </c>
      <c r="U4">
        <v>10.557161085307646</v>
      </c>
      <c r="V4">
        <f>T4+U4</f>
        <v>18.612179160118153</v>
      </c>
      <c r="W4">
        <v>7.704851112460517</v>
      </c>
      <c r="X4">
        <v>10.159368254654771</v>
      </c>
      <c r="Y4">
        <f>W4+X4</f>
        <v>17.86421936711529</v>
      </c>
      <c r="Z4" s="6">
        <f>ABS(T4-W4)</f>
        <v>0.3501669623499879</v>
      </c>
      <c r="AA4" s="6">
        <f>ABS(U4-X4)</f>
        <v>0.3977928306528753</v>
      </c>
      <c r="AB4" s="6">
        <f>ABS(V4-Y4)</f>
        <v>0.74795979300286319</v>
      </c>
      <c r="AC4">
        <v>8.620548062026506</v>
      </c>
      <c r="AD4">
        <v>6.0561308637261346</v>
      </c>
      <c r="AE4">
        <f>AC4+AD4</f>
        <v>14.67667892575264</v>
      </c>
      <c r="AF4">
        <v>7.4032985260524864</v>
      </c>
      <c r="AG4">
        <v>6.2541479144881684</v>
      </c>
      <c r="AH4">
        <f>AF4+AG4</f>
        <v>13.657446440540655</v>
      </c>
      <c r="AI4" s="6">
        <f>ABS(AC4-AF4)</f>
        <v>1.2172495359740196</v>
      </c>
      <c r="AJ4" s="6">
        <f>ABS(AD4-AG4)</f>
        <v>0.1980170507620338</v>
      </c>
      <c r="AK4" s="6">
        <f>ABS(AE4-AH4)</f>
        <v>1.019232485211985</v>
      </c>
    </row>
    <row r="5" spans="1:37" x14ac:dyDescent="0.3">
      <c r="A5">
        <v>-25</v>
      </c>
      <c r="B5">
        <v>8.356488496065138</v>
      </c>
      <c r="C5">
        <v>9.1718502342700923</v>
      </c>
      <c r="D5">
        <f t="shared" ref="D5:D14" si="0">B5+C5</f>
        <v>17.528338730335228</v>
      </c>
      <c r="E5">
        <v>8.9424260620524585</v>
      </c>
      <c r="F5">
        <v>9.2836794112707803</v>
      </c>
      <c r="G5">
        <f t="shared" ref="G5:G14" si="1">E5+F5</f>
        <v>18.226105473323237</v>
      </c>
      <c r="H5" s="6">
        <f t="shared" ref="H5:J14" si="2">ABS(B5-E5)</f>
        <v>0.5859375659873205</v>
      </c>
      <c r="I5" s="6">
        <f t="shared" si="2"/>
        <v>0.11182917700068806</v>
      </c>
      <c r="J5" s="6">
        <f t="shared" si="2"/>
        <v>0.69776674298800856</v>
      </c>
      <c r="K5">
        <v>8.4833924658596569</v>
      </c>
      <c r="L5">
        <v>9.5978501252830046</v>
      </c>
      <c r="M5">
        <f t="shared" ref="M5:M14" si="3">K5+L5</f>
        <v>18.081242591142662</v>
      </c>
      <c r="N5">
        <v>8.7314423450316756</v>
      </c>
      <c r="O5">
        <v>9.0397308273086932</v>
      </c>
      <c r="P5">
        <f t="shared" ref="P5:P14" si="4">N5+O5</f>
        <v>17.771173172340369</v>
      </c>
      <c r="Q5" s="6">
        <f t="shared" ref="Q5:S14" si="5">ABS(K5-N5)</f>
        <v>0.24804987917201871</v>
      </c>
      <c r="R5" s="6">
        <f t="shared" si="5"/>
        <v>0.55811929797431148</v>
      </c>
      <c r="S5" s="6">
        <f t="shared" si="5"/>
        <v>0.31006941880229277</v>
      </c>
      <c r="T5">
        <v>7.9337449744343722</v>
      </c>
      <c r="U5">
        <v>10.582950524985819</v>
      </c>
      <c r="V5">
        <f t="shared" ref="V5:V14" si="6">T5+U5</f>
        <v>18.516695499420191</v>
      </c>
      <c r="W5">
        <v>7.6057030127617331</v>
      </c>
      <c r="X5">
        <v>10.0151605973256</v>
      </c>
      <c r="Y5">
        <f t="shared" ref="Y5:Y14" si="7">W5+X5</f>
        <v>17.620863610087333</v>
      </c>
      <c r="Z5" s="6">
        <f t="shared" ref="Z5:AB14" si="8">ABS(T5-W5)</f>
        <v>0.3280419616726391</v>
      </c>
      <c r="AA5" s="6">
        <f t="shared" si="8"/>
        <v>0.5677899276602183</v>
      </c>
      <c r="AB5" s="6">
        <f t="shared" si="8"/>
        <v>0.8958318893328574</v>
      </c>
      <c r="AC5">
        <v>7.4163498356938335</v>
      </c>
      <c r="AD5">
        <v>7.8578842803835869</v>
      </c>
      <c r="AE5">
        <f t="shared" ref="AE5:AE14" si="9">AC5+AD5</f>
        <v>15.27423411607742</v>
      </c>
      <c r="AF5">
        <v>7.1727067120661907</v>
      </c>
      <c r="AG5">
        <v>6.0700640366998249</v>
      </c>
      <c r="AH5">
        <f t="shared" ref="AH5:AH14" si="10">AF5+AG5</f>
        <v>13.242770748766016</v>
      </c>
      <c r="AI5" s="6">
        <f t="shared" ref="AI5:AK14" si="11">ABS(AC5-AF5)</f>
        <v>0.24364312362764284</v>
      </c>
      <c r="AJ5" s="6">
        <f t="shared" si="11"/>
        <v>1.787820243683762</v>
      </c>
      <c r="AK5" s="6">
        <f t="shared" si="11"/>
        <v>2.0314633673114031</v>
      </c>
    </row>
    <row r="6" spans="1:37" x14ac:dyDescent="0.3">
      <c r="A6">
        <v>0</v>
      </c>
      <c r="B6">
        <v>8.3151786588132364</v>
      </c>
      <c r="C6">
        <v>9.1863186098635232</v>
      </c>
      <c r="D6">
        <f t="shared" si="0"/>
        <v>17.501497268676758</v>
      </c>
      <c r="E6">
        <v>8.8528625426484453</v>
      </c>
      <c r="F6">
        <v>9.3336191689948258</v>
      </c>
      <c r="G6">
        <f t="shared" si="1"/>
        <v>18.186481711643271</v>
      </c>
      <c r="H6" s="6">
        <f t="shared" si="2"/>
        <v>0.53768388383520893</v>
      </c>
      <c r="I6" s="6">
        <f t="shared" si="2"/>
        <v>0.14730055913130258</v>
      </c>
      <c r="J6" s="6">
        <f t="shared" si="2"/>
        <v>0.68498444296651329</v>
      </c>
      <c r="K6">
        <v>8.4291455335915071</v>
      </c>
      <c r="L6">
        <v>9.6180888824164832</v>
      </c>
      <c r="M6">
        <f t="shared" si="3"/>
        <v>18.047234416007989</v>
      </c>
      <c r="N6">
        <v>8.740168955962405</v>
      </c>
      <c r="O6">
        <v>9.0787395778583662</v>
      </c>
      <c r="P6">
        <f t="shared" si="4"/>
        <v>17.818908533820771</v>
      </c>
      <c r="Q6" s="6">
        <f t="shared" si="5"/>
        <v>0.31102342237089786</v>
      </c>
      <c r="R6" s="6">
        <f t="shared" si="5"/>
        <v>0.53934930455811703</v>
      </c>
      <c r="S6" s="6">
        <f t="shared" si="5"/>
        <v>0.22832588218721739</v>
      </c>
      <c r="T6">
        <v>7.8535282984375909</v>
      </c>
      <c r="U6">
        <v>10.636835359036899</v>
      </c>
      <c r="V6">
        <f t="shared" si="6"/>
        <v>18.490363657474489</v>
      </c>
      <c r="W6">
        <v>7.5702017283779739</v>
      </c>
      <c r="X6">
        <v>10.072235643440489</v>
      </c>
      <c r="Y6">
        <f t="shared" si="7"/>
        <v>17.642437371818463</v>
      </c>
      <c r="Z6" s="6">
        <f t="shared" si="8"/>
        <v>0.28332657005961703</v>
      </c>
      <c r="AA6" s="6">
        <f t="shared" si="8"/>
        <v>0.56459971559640998</v>
      </c>
      <c r="AB6" s="6">
        <f t="shared" si="8"/>
        <v>0.84792628565602612</v>
      </c>
      <c r="AC6">
        <v>6.9437365047633666</v>
      </c>
      <c r="AD6">
        <v>8.3254692144691944</v>
      </c>
      <c r="AE6">
        <f t="shared" si="9"/>
        <v>15.269205719232561</v>
      </c>
      <c r="AF6">
        <v>7.2183042929673054</v>
      </c>
      <c r="AG6">
        <v>5.9576195459737793</v>
      </c>
      <c r="AH6">
        <f t="shared" si="10"/>
        <v>13.175923838941085</v>
      </c>
      <c r="AI6" s="6">
        <f t="shared" si="11"/>
        <v>0.27456778820393879</v>
      </c>
      <c r="AJ6" s="6">
        <f t="shared" si="11"/>
        <v>2.3678496684954151</v>
      </c>
      <c r="AK6" s="6">
        <f t="shared" si="11"/>
        <v>2.0932818802914763</v>
      </c>
    </row>
    <row r="7" spans="1:37" x14ac:dyDescent="0.3">
      <c r="A7">
        <v>25</v>
      </c>
      <c r="B7">
        <v>8.3270522765815222</v>
      </c>
      <c r="C7">
        <v>9.2047189362347073</v>
      </c>
      <c r="D7">
        <f t="shared" si="0"/>
        <v>17.531771212816231</v>
      </c>
      <c r="E7">
        <v>8.8009333547923987</v>
      </c>
      <c r="F7">
        <v>9.3894911497275366</v>
      </c>
      <c r="G7">
        <f t="shared" si="1"/>
        <v>18.190424504519935</v>
      </c>
      <c r="H7" s="6">
        <f t="shared" si="2"/>
        <v>0.47388107821087644</v>
      </c>
      <c r="I7" s="6">
        <f t="shared" si="2"/>
        <v>0.18477221349282935</v>
      </c>
      <c r="J7" s="6">
        <f t="shared" si="2"/>
        <v>0.65865329170370401</v>
      </c>
      <c r="K7">
        <v>8.4335023537278211</v>
      </c>
      <c r="L7">
        <v>9.6169797703623789</v>
      </c>
      <c r="M7">
        <f t="shared" si="3"/>
        <v>18.050482124090202</v>
      </c>
      <c r="N7">
        <v>8.6916728722315479</v>
      </c>
      <c r="O7">
        <v>9.1085875606897968</v>
      </c>
      <c r="P7">
        <f t="shared" si="4"/>
        <v>17.800260432921345</v>
      </c>
      <c r="Q7" s="6">
        <f t="shared" si="5"/>
        <v>0.25817051850372685</v>
      </c>
      <c r="R7" s="6">
        <f t="shared" si="5"/>
        <v>0.50839220967258214</v>
      </c>
      <c r="S7" s="6">
        <f t="shared" si="5"/>
        <v>0.25022169116885706</v>
      </c>
      <c r="T7">
        <v>7.8644059598445901</v>
      </c>
      <c r="U7">
        <v>10.6215089559555</v>
      </c>
      <c r="V7">
        <f t="shared" si="6"/>
        <v>18.485914915800091</v>
      </c>
      <c r="W7">
        <v>7.5207048908703502</v>
      </c>
      <c r="X7">
        <v>10.100873899494569</v>
      </c>
      <c r="Y7">
        <f t="shared" si="7"/>
        <v>17.621578790364921</v>
      </c>
      <c r="Z7" s="6">
        <f t="shared" si="8"/>
        <v>0.34370106897423991</v>
      </c>
      <c r="AA7" s="6">
        <f t="shared" si="8"/>
        <v>0.52063505646093056</v>
      </c>
      <c r="AB7" s="6">
        <f t="shared" si="8"/>
        <v>0.86433612543516958</v>
      </c>
      <c r="AC7">
        <v>7.0717688649892843</v>
      </c>
      <c r="AD7">
        <v>8.5270922631025368</v>
      </c>
      <c r="AE7">
        <f t="shared" si="9"/>
        <v>15.598861128091821</v>
      </c>
      <c r="AF7">
        <v>7.0405996953360832</v>
      </c>
      <c r="AG7">
        <v>4.275167035697133</v>
      </c>
      <c r="AH7">
        <f t="shared" si="10"/>
        <v>11.315766731033216</v>
      </c>
      <c r="AI7" s="6">
        <f t="shared" si="11"/>
        <v>3.1169169653201045E-2</v>
      </c>
      <c r="AJ7" s="6">
        <f t="shared" si="11"/>
        <v>4.2519252274054038</v>
      </c>
      <c r="AK7" s="6">
        <f t="shared" si="11"/>
        <v>4.2830943970586048</v>
      </c>
    </row>
    <row r="8" spans="1:37" x14ac:dyDescent="0.3">
      <c r="A8">
        <v>50</v>
      </c>
      <c r="B8">
        <v>8.3194022998213804</v>
      </c>
      <c r="C8">
        <v>9.2527175322175008</v>
      </c>
      <c r="D8">
        <f t="shared" si="0"/>
        <v>17.572119832038879</v>
      </c>
      <c r="E8">
        <v>8.8008656787591146</v>
      </c>
      <c r="F8">
        <v>9.44600489380319</v>
      </c>
      <c r="G8">
        <f t="shared" si="1"/>
        <v>18.246870572562305</v>
      </c>
      <c r="H8" s="6">
        <f t="shared" si="2"/>
        <v>0.48146337893773428</v>
      </c>
      <c r="I8" s="6">
        <f t="shared" si="2"/>
        <v>0.19328736158568915</v>
      </c>
      <c r="J8" s="6">
        <f t="shared" si="2"/>
        <v>0.67475074052342521</v>
      </c>
      <c r="K8">
        <v>8.4202184341847897</v>
      </c>
      <c r="L8">
        <v>9.6294031478464603</v>
      </c>
      <c r="M8">
        <f t="shared" si="3"/>
        <v>18.04962158203125</v>
      </c>
      <c r="N8">
        <v>8.6863797401469469</v>
      </c>
      <c r="O8">
        <v>9.1392341377296233</v>
      </c>
      <c r="P8">
        <f t="shared" si="4"/>
        <v>17.82561387787657</v>
      </c>
      <c r="Q8" s="6">
        <f t="shared" si="5"/>
        <v>0.26616130596215726</v>
      </c>
      <c r="R8" s="6">
        <f t="shared" si="5"/>
        <v>0.490169010116837</v>
      </c>
      <c r="S8" s="6">
        <f t="shared" si="5"/>
        <v>0.22400770415467974</v>
      </c>
      <c r="T8">
        <v>7.8684160485863694</v>
      </c>
      <c r="U8">
        <v>10.630920343101071</v>
      </c>
      <c r="V8">
        <f t="shared" si="6"/>
        <v>18.499336391687439</v>
      </c>
      <c r="W8">
        <v>7.5416521552905866</v>
      </c>
      <c r="X8">
        <v>10.1392262745339</v>
      </c>
      <c r="Y8">
        <f t="shared" si="7"/>
        <v>17.680878429824489</v>
      </c>
      <c r="Z8" s="6">
        <f t="shared" si="8"/>
        <v>0.32676389329578281</v>
      </c>
      <c r="AA8" s="6">
        <f t="shared" si="8"/>
        <v>0.49169406856717046</v>
      </c>
      <c r="AB8" s="6">
        <f t="shared" si="8"/>
        <v>0.81845796186295061</v>
      </c>
      <c r="AC8">
        <v>7.3455667123198527</v>
      </c>
      <c r="AD8">
        <v>8.7875539436936361</v>
      </c>
      <c r="AE8">
        <f t="shared" si="9"/>
        <v>16.133120656013489</v>
      </c>
      <c r="AF8">
        <v>7.5291889851870968</v>
      </c>
      <c r="AG8">
        <v>4.6330133739806163</v>
      </c>
      <c r="AH8">
        <f t="shared" si="10"/>
        <v>12.162202359167713</v>
      </c>
      <c r="AI8" s="6">
        <f t="shared" si="11"/>
        <v>0.18362227286724409</v>
      </c>
      <c r="AJ8" s="6">
        <f t="shared" si="11"/>
        <v>4.1545405697130198</v>
      </c>
      <c r="AK8" s="6">
        <f t="shared" si="11"/>
        <v>3.9709182968457757</v>
      </c>
    </row>
    <row r="9" spans="1:37" x14ac:dyDescent="0.3">
      <c r="A9">
        <v>75</v>
      </c>
      <c r="B9">
        <v>8.3231061697006226</v>
      </c>
      <c r="C9">
        <v>9.2836186289787275</v>
      </c>
      <c r="D9">
        <f t="shared" si="0"/>
        <v>17.606724798679352</v>
      </c>
      <c r="E9">
        <v>8.8015145986560182</v>
      </c>
      <c r="F9">
        <v>9.4254152143889769</v>
      </c>
      <c r="G9">
        <f t="shared" si="1"/>
        <v>18.226929813044997</v>
      </c>
      <c r="H9" s="6">
        <f t="shared" si="2"/>
        <v>0.47840842895539559</v>
      </c>
      <c r="I9" s="6">
        <f t="shared" si="2"/>
        <v>0.14179658541024942</v>
      </c>
      <c r="J9" s="6">
        <f t="shared" si="2"/>
        <v>0.62020501436564501</v>
      </c>
      <c r="K9">
        <v>8.4144658409059048</v>
      </c>
      <c r="L9">
        <v>9.6288413740694541</v>
      </c>
      <c r="M9">
        <f t="shared" si="3"/>
        <v>18.043307214975357</v>
      </c>
      <c r="N9">
        <v>8.6785056613325757</v>
      </c>
      <c r="O9">
        <v>9.179729645061558</v>
      </c>
      <c r="P9">
        <f t="shared" si="4"/>
        <v>17.858235306394135</v>
      </c>
      <c r="Q9" s="6">
        <f t="shared" si="5"/>
        <v>0.26403982042667096</v>
      </c>
      <c r="R9" s="6">
        <f t="shared" si="5"/>
        <v>0.44911172900789609</v>
      </c>
      <c r="S9" s="6">
        <f t="shared" si="5"/>
        <v>0.18507190858122158</v>
      </c>
      <c r="T9">
        <v>7.8685580752789965</v>
      </c>
      <c r="U9">
        <v>10.664410982280943</v>
      </c>
      <c r="V9">
        <f t="shared" si="6"/>
        <v>18.532969057559939</v>
      </c>
      <c r="W9">
        <v>7.5829360864565176</v>
      </c>
      <c r="X9">
        <v>10.153830379637929</v>
      </c>
      <c r="Y9">
        <f t="shared" si="7"/>
        <v>17.736766466094448</v>
      </c>
      <c r="Z9" s="6">
        <f t="shared" si="8"/>
        <v>0.28562198882247891</v>
      </c>
      <c r="AA9" s="6">
        <f t="shared" si="8"/>
        <v>0.51058060264301375</v>
      </c>
      <c r="AB9" s="6">
        <f t="shared" si="8"/>
        <v>0.79620259146549088</v>
      </c>
      <c r="AC9">
        <v>7.6049960218369952</v>
      </c>
      <c r="AD9">
        <v>8.991006109863525</v>
      </c>
      <c r="AE9">
        <f t="shared" si="9"/>
        <v>16.596002131700519</v>
      </c>
      <c r="AF9">
        <v>7.7262642089792442</v>
      </c>
      <c r="AG9">
        <v>6.168743530096636</v>
      </c>
      <c r="AH9">
        <f t="shared" si="10"/>
        <v>13.895007739075879</v>
      </c>
      <c r="AI9" s="6">
        <f t="shared" si="11"/>
        <v>0.12126818714224896</v>
      </c>
      <c r="AJ9" s="6">
        <f t="shared" si="11"/>
        <v>2.822262579766889</v>
      </c>
      <c r="AK9" s="6">
        <f t="shared" si="11"/>
        <v>2.70099439262464</v>
      </c>
    </row>
    <row r="10" spans="1:37" x14ac:dyDescent="0.3">
      <c r="A10">
        <v>100</v>
      </c>
      <c r="B10">
        <v>8.3009700290858781</v>
      </c>
      <c r="C10">
        <v>9.3296659179031813</v>
      </c>
      <c r="D10">
        <f t="shared" si="0"/>
        <v>17.630635946989059</v>
      </c>
      <c r="E10">
        <v>8.8000592149100356</v>
      </c>
      <c r="F10">
        <v>9.4919853844123594</v>
      </c>
      <c r="G10">
        <f t="shared" si="1"/>
        <v>18.292044599322395</v>
      </c>
      <c r="H10" s="6">
        <f t="shared" si="2"/>
        <v>0.49908918582415751</v>
      </c>
      <c r="I10" s="6">
        <f t="shared" si="2"/>
        <v>0.16231946650917806</v>
      </c>
      <c r="J10" s="6">
        <f t="shared" si="2"/>
        <v>0.66140865233333557</v>
      </c>
      <c r="K10">
        <v>8.433063048869375</v>
      </c>
      <c r="L10">
        <v>9.6512558870017546</v>
      </c>
      <c r="M10">
        <f t="shared" si="3"/>
        <v>18.084318935871131</v>
      </c>
      <c r="N10">
        <v>8.7013135442008291</v>
      </c>
      <c r="O10">
        <v>9.2076775451173081</v>
      </c>
      <c r="P10">
        <f t="shared" si="4"/>
        <v>17.908991089318135</v>
      </c>
      <c r="Q10" s="6">
        <f t="shared" si="5"/>
        <v>0.26825049533145418</v>
      </c>
      <c r="R10" s="6">
        <f t="shared" si="5"/>
        <v>0.44357834188444656</v>
      </c>
      <c r="S10" s="6">
        <f t="shared" si="5"/>
        <v>0.17532784655299594</v>
      </c>
      <c r="T10">
        <v>7.8819542191922682</v>
      </c>
      <c r="U10">
        <v>10.701800975948602</v>
      </c>
      <c r="V10">
        <f t="shared" si="6"/>
        <v>18.583755195140871</v>
      </c>
      <c r="W10">
        <v>7.5447986163015939</v>
      </c>
      <c r="X10">
        <v>10.20963190643984</v>
      </c>
      <c r="Y10">
        <f t="shared" si="7"/>
        <v>17.754430522741433</v>
      </c>
      <c r="Z10" s="6">
        <f t="shared" si="8"/>
        <v>0.33715560289067437</v>
      </c>
      <c r="AA10" s="6">
        <f t="shared" si="8"/>
        <v>0.49216906950876194</v>
      </c>
      <c r="AB10" s="6">
        <f t="shared" si="8"/>
        <v>0.82932467239943719</v>
      </c>
      <c r="AC10">
        <v>7.3037067428231275</v>
      </c>
      <c r="AD10">
        <v>10.058601759374152</v>
      </c>
      <c r="AE10">
        <f t="shared" si="9"/>
        <v>17.36230850219728</v>
      </c>
      <c r="AF10">
        <v>7.9688032132350921</v>
      </c>
      <c r="AG10">
        <v>3.0404793027177441</v>
      </c>
      <c r="AH10">
        <f t="shared" si="10"/>
        <v>11.009282515952837</v>
      </c>
      <c r="AI10" s="6">
        <f t="shared" si="11"/>
        <v>0.66509647041196462</v>
      </c>
      <c r="AJ10" s="6">
        <f t="shared" si="11"/>
        <v>7.0181224566564087</v>
      </c>
      <c r="AK10" s="6">
        <f t="shared" si="11"/>
        <v>6.3530259862444431</v>
      </c>
    </row>
    <row r="11" spans="1:37" x14ac:dyDescent="0.3">
      <c r="A11">
        <v>125</v>
      </c>
      <c r="B11">
        <v>8.291159849613905</v>
      </c>
      <c r="C11">
        <v>9.3802352435886842</v>
      </c>
      <c r="D11">
        <f t="shared" si="0"/>
        <v>17.671395093202591</v>
      </c>
      <c r="E11">
        <v>8.7923071352443642</v>
      </c>
      <c r="F11">
        <v>9.4920754302549977</v>
      </c>
      <c r="G11">
        <f t="shared" si="1"/>
        <v>18.284382565499364</v>
      </c>
      <c r="H11" s="6">
        <f t="shared" si="2"/>
        <v>0.50114728563045929</v>
      </c>
      <c r="I11" s="6">
        <f t="shared" si="2"/>
        <v>0.11184018666631346</v>
      </c>
      <c r="J11" s="6">
        <f t="shared" si="2"/>
        <v>0.61298747229677275</v>
      </c>
      <c r="K11">
        <v>8.4650808013975585</v>
      </c>
      <c r="L11">
        <v>9.6625774167478102</v>
      </c>
      <c r="M11">
        <f t="shared" si="3"/>
        <v>18.12765821814537</v>
      </c>
      <c r="N11">
        <v>8.6985356011102581</v>
      </c>
      <c r="O11">
        <v>9.250645686646477</v>
      </c>
      <c r="P11">
        <f t="shared" si="4"/>
        <v>17.949181287756737</v>
      </c>
      <c r="Q11" s="6">
        <f t="shared" si="5"/>
        <v>0.23345479971269967</v>
      </c>
      <c r="R11" s="6">
        <f t="shared" si="5"/>
        <v>0.41193173010133322</v>
      </c>
      <c r="S11" s="6">
        <f t="shared" si="5"/>
        <v>0.17847693038863355</v>
      </c>
      <c r="T11">
        <v>7.8839414753019801</v>
      </c>
      <c r="U11">
        <v>10.71330597624182</v>
      </c>
      <c r="V11">
        <f t="shared" si="6"/>
        <v>18.597247451543801</v>
      </c>
      <c r="W11">
        <v>7.5479487095177413</v>
      </c>
      <c r="X11">
        <v>10.22334710673934</v>
      </c>
      <c r="Y11">
        <f t="shared" si="7"/>
        <v>17.77129581625708</v>
      </c>
      <c r="Z11" s="6">
        <f t="shared" si="8"/>
        <v>0.33599276578423876</v>
      </c>
      <c r="AA11" s="6">
        <f t="shared" si="8"/>
        <v>0.48995886950248035</v>
      </c>
      <c r="AB11" s="6">
        <f t="shared" si="8"/>
        <v>0.82595163528672089</v>
      </c>
      <c r="AC11">
        <v>7.146356347948311</v>
      </c>
      <c r="AD11">
        <v>10.88634347543122</v>
      </c>
      <c r="AE11">
        <f t="shared" si="9"/>
        <v>18.032699823379531</v>
      </c>
      <c r="AF11">
        <v>8.18782283718404</v>
      </c>
      <c r="AG11">
        <v>4.9754360687471211</v>
      </c>
      <c r="AH11">
        <f t="shared" si="10"/>
        <v>13.163258905931162</v>
      </c>
      <c r="AI11" s="6">
        <f t="shared" si="11"/>
        <v>1.041466489235729</v>
      </c>
      <c r="AJ11" s="6">
        <f t="shared" si="11"/>
        <v>5.9109074066840988</v>
      </c>
      <c r="AK11" s="6">
        <f t="shared" si="11"/>
        <v>4.8694409174483688</v>
      </c>
    </row>
    <row r="12" spans="1:37" x14ac:dyDescent="0.3">
      <c r="A12">
        <v>150</v>
      </c>
      <c r="B12">
        <v>8.2644758746028</v>
      </c>
      <c r="C12">
        <v>9.4384254887700116</v>
      </c>
      <c r="D12">
        <f t="shared" si="0"/>
        <v>17.70290136337281</v>
      </c>
      <c r="E12">
        <v>8.8053130912811355</v>
      </c>
      <c r="F12">
        <v>9.5413916642385939</v>
      </c>
      <c r="G12">
        <f t="shared" si="1"/>
        <v>18.346704755519731</v>
      </c>
      <c r="H12" s="6">
        <f t="shared" si="2"/>
        <v>0.54083721667833551</v>
      </c>
      <c r="I12" s="6">
        <f t="shared" si="2"/>
        <v>0.10296617546858222</v>
      </c>
      <c r="J12" s="6">
        <f t="shared" si="2"/>
        <v>0.64380339214692128</v>
      </c>
      <c r="K12">
        <v>8.4867289289832097</v>
      </c>
      <c r="L12">
        <v>9.7042815759777987</v>
      </c>
      <c r="M12">
        <f t="shared" si="3"/>
        <v>18.191010504961007</v>
      </c>
      <c r="N12">
        <v>8.6826593613889038</v>
      </c>
      <c r="O12">
        <v>9.2716810290589571</v>
      </c>
      <c r="P12">
        <f t="shared" si="4"/>
        <v>17.954340390447861</v>
      </c>
      <c r="Q12" s="6">
        <f t="shared" si="5"/>
        <v>0.19593043240569408</v>
      </c>
      <c r="R12" s="6">
        <f t="shared" si="5"/>
        <v>0.43260054691884164</v>
      </c>
      <c r="S12" s="6">
        <f t="shared" si="5"/>
        <v>0.23667011451314579</v>
      </c>
      <c r="T12">
        <v>7.9274182207882431</v>
      </c>
      <c r="U12">
        <v>10.765158664435116</v>
      </c>
      <c r="V12">
        <f t="shared" si="6"/>
        <v>18.69257688522336</v>
      </c>
      <c r="W12">
        <v>7.517514936509766</v>
      </c>
      <c r="X12">
        <v>10.236559028409429</v>
      </c>
      <c r="Y12">
        <f t="shared" si="7"/>
        <v>17.754073964919193</v>
      </c>
      <c r="Z12" s="6">
        <f t="shared" si="8"/>
        <v>0.40990328427847711</v>
      </c>
      <c r="AA12" s="6">
        <f t="shared" si="8"/>
        <v>0.52859963602568705</v>
      </c>
      <c r="AB12" s="6">
        <f t="shared" si="8"/>
        <v>0.93850292030416682</v>
      </c>
      <c r="AC12">
        <v>7.1756498888134947</v>
      </c>
      <c r="AD12">
        <v>11.565585248172315</v>
      </c>
      <c r="AE12">
        <f t="shared" si="9"/>
        <v>18.741235136985811</v>
      </c>
      <c r="AF12">
        <v>8.6365988813645114</v>
      </c>
      <c r="AG12">
        <v>6.3627622646259283</v>
      </c>
      <c r="AH12">
        <f t="shared" si="10"/>
        <v>14.99936114599044</v>
      </c>
      <c r="AI12" s="6">
        <f t="shared" si="11"/>
        <v>1.4609489925510166</v>
      </c>
      <c r="AJ12" s="6">
        <f t="shared" si="11"/>
        <v>5.2028229835463868</v>
      </c>
      <c r="AK12" s="6">
        <f t="shared" si="11"/>
        <v>3.7418739909953711</v>
      </c>
    </row>
    <row r="13" spans="1:37" x14ac:dyDescent="0.3">
      <c r="A13">
        <v>175</v>
      </c>
      <c r="B13">
        <v>8.267623465508219</v>
      </c>
      <c r="C13">
        <v>9.4623346813023108</v>
      </c>
      <c r="D13">
        <f t="shared" si="0"/>
        <v>17.729958146810532</v>
      </c>
      <c r="E13">
        <v>8.8087297903486341</v>
      </c>
      <c r="F13">
        <v>9.5670857350788729</v>
      </c>
      <c r="G13">
        <f t="shared" si="1"/>
        <v>18.375815525427505</v>
      </c>
      <c r="H13" s="6">
        <f t="shared" si="2"/>
        <v>0.5411063248404151</v>
      </c>
      <c r="I13" s="6">
        <f t="shared" si="2"/>
        <v>0.10475105377656213</v>
      </c>
      <c r="J13" s="6">
        <f t="shared" si="2"/>
        <v>0.64585737861697368</v>
      </c>
      <c r="K13">
        <v>8.5115293972194248</v>
      </c>
      <c r="L13">
        <v>9.7423401661217266</v>
      </c>
      <c r="M13">
        <f t="shared" si="3"/>
        <v>18.253869563341151</v>
      </c>
      <c r="N13">
        <v>8.7046567098381491</v>
      </c>
      <c r="O13">
        <v>9.2986644297196968</v>
      </c>
      <c r="P13">
        <f t="shared" si="4"/>
        <v>18.003321139557848</v>
      </c>
      <c r="Q13" s="6">
        <f t="shared" si="5"/>
        <v>0.19312731261872429</v>
      </c>
      <c r="R13" s="6">
        <f t="shared" si="5"/>
        <v>0.44367573640202984</v>
      </c>
      <c r="S13" s="6">
        <f t="shared" si="5"/>
        <v>0.25054842378330378</v>
      </c>
      <c r="T13">
        <v>7.9520463943481472</v>
      </c>
      <c r="U13">
        <v>10.783435404300663</v>
      </c>
      <c r="V13">
        <f t="shared" si="6"/>
        <v>18.735481798648809</v>
      </c>
      <c r="W13">
        <v>7.5543836656808701</v>
      </c>
      <c r="X13">
        <v>10.255202037869079</v>
      </c>
      <c r="Y13">
        <f t="shared" si="7"/>
        <v>17.809585703549949</v>
      </c>
      <c r="Z13" s="6">
        <f t="shared" si="8"/>
        <v>0.39766272866727714</v>
      </c>
      <c r="AA13" s="6">
        <f t="shared" si="8"/>
        <v>0.52823336643158392</v>
      </c>
      <c r="AB13" s="6">
        <f t="shared" si="8"/>
        <v>0.92589609509886017</v>
      </c>
      <c r="AC13">
        <v>7.2847752831876234</v>
      </c>
      <c r="AD13">
        <v>12.317556235939247</v>
      </c>
      <c r="AE13">
        <f t="shared" si="9"/>
        <v>19.602331519126871</v>
      </c>
      <c r="AF13">
        <v>8.8536797418140942</v>
      </c>
      <c r="AG13">
        <v>6.7546127073487741</v>
      </c>
      <c r="AH13">
        <f t="shared" si="10"/>
        <v>15.608292449162867</v>
      </c>
      <c r="AI13" s="6">
        <f t="shared" si="11"/>
        <v>1.5689044586264709</v>
      </c>
      <c r="AJ13" s="6">
        <f t="shared" si="11"/>
        <v>5.5629435285904725</v>
      </c>
      <c r="AK13" s="6">
        <f t="shared" si="11"/>
        <v>3.9940390699640034</v>
      </c>
    </row>
    <row r="14" spans="1:37" x14ac:dyDescent="0.3">
      <c r="A14">
        <v>200</v>
      </c>
      <c r="B14">
        <v>8.2756012678146398</v>
      </c>
      <c r="C14">
        <v>9.5000818371772802</v>
      </c>
      <c r="D14">
        <f t="shared" si="0"/>
        <v>17.77568310499192</v>
      </c>
      <c r="E14">
        <v>8.8003891368569018</v>
      </c>
      <c r="F14">
        <v>9.5813293951687495</v>
      </c>
      <c r="G14">
        <f t="shared" si="1"/>
        <v>18.381718532025651</v>
      </c>
      <c r="H14" s="6">
        <f t="shared" si="2"/>
        <v>0.52478786904226205</v>
      </c>
      <c r="I14" s="6">
        <f t="shared" si="2"/>
        <v>8.1247557991469321E-2</v>
      </c>
      <c r="J14" s="6">
        <f t="shared" si="2"/>
        <v>0.60603542703373137</v>
      </c>
      <c r="K14">
        <v>8.5481088608503306</v>
      </c>
      <c r="L14">
        <v>9.7802903503179586</v>
      </c>
      <c r="M14">
        <f t="shared" si="3"/>
        <v>18.328399211168289</v>
      </c>
      <c r="N14">
        <v>8.7054562359955856</v>
      </c>
      <c r="O14">
        <v>9.3195955192320117</v>
      </c>
      <c r="P14">
        <f t="shared" si="4"/>
        <v>18.025051755227597</v>
      </c>
      <c r="Q14" s="6">
        <f t="shared" si="5"/>
        <v>0.15734737514525499</v>
      </c>
      <c r="R14" s="6">
        <f t="shared" si="5"/>
        <v>0.46069483108594689</v>
      </c>
      <c r="S14" s="6">
        <f t="shared" si="5"/>
        <v>0.3033474559406919</v>
      </c>
      <c r="T14">
        <v>7.9565622843801966</v>
      </c>
      <c r="U14">
        <v>10.812827106565233</v>
      </c>
      <c r="V14">
        <f t="shared" si="6"/>
        <v>18.769389390945431</v>
      </c>
      <c r="W14">
        <v>7.2164932597723253</v>
      </c>
      <c r="X14">
        <v>10.283282636089769</v>
      </c>
      <c r="Y14">
        <f t="shared" si="7"/>
        <v>17.499775895862093</v>
      </c>
      <c r="Z14" s="6">
        <f t="shared" si="8"/>
        <v>0.74006902460787138</v>
      </c>
      <c r="AA14" s="6">
        <f t="shared" si="8"/>
        <v>0.52954447047546438</v>
      </c>
      <c r="AB14" s="6">
        <f t="shared" si="8"/>
        <v>1.2696134950833375</v>
      </c>
      <c r="AC14">
        <v>7.3088424280285871</v>
      </c>
      <c r="AD14">
        <v>13.126130215823613</v>
      </c>
      <c r="AE14">
        <f t="shared" si="9"/>
        <v>20.434972643852198</v>
      </c>
      <c r="AF14">
        <v>9.0972129367834746</v>
      </c>
      <c r="AG14">
        <v>5.8337276246461292</v>
      </c>
      <c r="AH14">
        <f t="shared" si="10"/>
        <v>14.930940561429605</v>
      </c>
      <c r="AI14" s="6">
        <f t="shared" si="11"/>
        <v>1.7883705087548876</v>
      </c>
      <c r="AJ14" s="6">
        <f t="shared" si="11"/>
        <v>7.2924025911774839</v>
      </c>
      <c r="AK14" s="6">
        <f t="shared" si="11"/>
        <v>5.5040320824225937</v>
      </c>
    </row>
    <row r="16" spans="1:37" x14ac:dyDescent="0.3">
      <c r="H16" s="25" t="s">
        <v>3</v>
      </c>
      <c r="I16" s="25"/>
      <c r="J16" s="25"/>
      <c r="Q16" s="25" t="s">
        <v>4</v>
      </c>
      <c r="R16" s="25"/>
      <c r="S16" s="25"/>
      <c r="Z16" s="25" t="s">
        <v>5</v>
      </c>
      <c r="AA16" s="25"/>
      <c r="AB16" s="25"/>
      <c r="AI16" s="25" t="s">
        <v>6</v>
      </c>
      <c r="AJ16" s="25"/>
      <c r="AK16" s="25"/>
    </row>
    <row r="17" spans="5:37" x14ac:dyDescent="0.3">
      <c r="H17" t="s">
        <v>38</v>
      </c>
      <c r="I17" t="s">
        <v>39</v>
      </c>
      <c r="J17" t="s">
        <v>40</v>
      </c>
      <c r="Q17" t="s">
        <v>38</v>
      </c>
      <c r="R17" t="s">
        <v>39</v>
      </c>
      <c r="S17" t="s">
        <v>40</v>
      </c>
      <c r="Z17" t="s">
        <v>38</v>
      </c>
      <c r="AA17" t="s">
        <v>39</v>
      </c>
      <c r="AB17" t="s">
        <v>40</v>
      </c>
      <c r="AI17" t="s">
        <v>38</v>
      </c>
      <c r="AJ17" t="s">
        <v>39</v>
      </c>
      <c r="AK17" t="s">
        <v>40</v>
      </c>
    </row>
    <row r="18" spans="5:37" x14ac:dyDescent="0.3">
      <c r="E18" s="19" t="s">
        <v>8</v>
      </c>
      <c r="F18" s="19"/>
      <c r="G18" s="19"/>
      <c r="H18" s="7">
        <f>AVERAGE(H4:H14)</f>
        <v>0.53498835732293337</v>
      </c>
      <c r="I18" s="7">
        <f t="shared" ref="I18:J18" si="12">AVERAGE(I4:I14)</f>
        <v>0.1368343242576249</v>
      </c>
      <c r="J18" s="7">
        <f t="shared" si="12"/>
        <v>0.67182268158055825</v>
      </c>
      <c r="N18" s="19" t="s">
        <v>8</v>
      </c>
      <c r="O18" s="19"/>
      <c r="P18" s="19"/>
      <c r="Q18" s="7">
        <f>AVERAGE(Q4:Q14)</f>
        <v>0.25646206249401682</v>
      </c>
      <c r="R18" s="7">
        <f t="shared" ref="R18:S18" si="13">AVERAGE(R4:R14)</f>
        <v>0.46983903636067448</v>
      </c>
      <c r="S18" s="7">
        <f t="shared" si="13"/>
        <v>0.21337697386665735</v>
      </c>
      <c r="W18" s="19" t="s">
        <v>8</v>
      </c>
      <c r="X18" s="19"/>
      <c r="Y18" s="19"/>
      <c r="Z18" s="7">
        <f>AVERAGE(Z4:Z14)</f>
        <v>0.37621871376393495</v>
      </c>
      <c r="AA18" s="7">
        <f t="shared" ref="AA18:AB18" si="14">AVERAGE(AA4:AA14)</f>
        <v>0.51105432850223598</v>
      </c>
      <c r="AB18" s="7">
        <f t="shared" si="14"/>
        <v>0.88727304226617099</v>
      </c>
      <c r="AF18" s="19" t="s">
        <v>8</v>
      </c>
      <c r="AG18" s="19"/>
      <c r="AH18" s="19"/>
      <c r="AI18" s="7">
        <f>AVERAGE(AI4:AI14)</f>
        <v>0.78148245427712404</v>
      </c>
      <c r="AJ18" s="7">
        <f t="shared" ref="AJ18:AK18" si="15">AVERAGE(AJ4:AJ14)</f>
        <v>4.2336013005892159</v>
      </c>
      <c r="AK18" s="7">
        <f t="shared" si="15"/>
        <v>3.687399715128969</v>
      </c>
    </row>
    <row r="19" spans="5:37" x14ac:dyDescent="0.3">
      <c r="E19" s="19" t="s">
        <v>9</v>
      </c>
      <c r="F19" s="19"/>
      <c r="G19" s="19"/>
      <c r="H19" s="7">
        <f>_xlfn.STDEV.P(H4:H14)</f>
        <v>6.7040456378123531E-2</v>
      </c>
      <c r="I19" s="7">
        <f t="shared" ref="I19:J19" si="16">_xlfn.STDEV.P(I4:I14)</f>
        <v>3.4997468998432785E-2</v>
      </c>
      <c r="J19" s="7">
        <f t="shared" si="16"/>
        <v>7.2549875019520024E-2</v>
      </c>
      <c r="N19" s="19" t="s">
        <v>9</v>
      </c>
      <c r="O19" s="19"/>
      <c r="P19" s="19"/>
      <c r="Q19" s="7">
        <f>_xlfn.STDEV.P(Q4:Q14)</f>
        <v>6.7388006724392949E-2</v>
      </c>
      <c r="R19" s="7">
        <f t="shared" ref="R19:S19" si="17">_xlfn.STDEV.P(R4:R14)</f>
        <v>4.5418515920840771E-2</v>
      </c>
      <c r="S19" s="7">
        <f t="shared" si="17"/>
        <v>7.8576685598376744E-2</v>
      </c>
      <c r="W19" s="19" t="s">
        <v>9</v>
      </c>
      <c r="X19" s="19"/>
      <c r="Y19" s="19"/>
      <c r="Z19" s="7">
        <f>_xlfn.STDEV.P(Z4:Z14)</f>
        <v>0.12077973373994895</v>
      </c>
      <c r="AA19" s="7">
        <f t="shared" ref="AA19:AB19" si="18">_xlfn.STDEV.P(AA4:AA14)</f>
        <v>4.3825637912946858E-2</v>
      </c>
      <c r="AB19" s="7">
        <f t="shared" si="18"/>
        <v>0.13211697227398533</v>
      </c>
      <c r="AF19" s="19" t="s">
        <v>9</v>
      </c>
      <c r="AG19" s="19"/>
      <c r="AH19" s="19"/>
      <c r="AI19" s="7">
        <f>_xlfn.STDEV.P(AI4:AI14)</f>
        <v>0.62297566079570654</v>
      </c>
      <c r="AJ19" s="7">
        <f t="shared" ref="AJ19:AK19" si="19">_xlfn.STDEV.P(AJ4:AJ14)</f>
        <v>2.140029700857605</v>
      </c>
      <c r="AK19" s="7">
        <f t="shared" si="19"/>
        <v>1.5288324941393974</v>
      </c>
    </row>
    <row r="20" spans="5:37" x14ac:dyDescent="0.3">
      <c r="H20" s="8"/>
      <c r="I20" s="8"/>
      <c r="J20" s="8"/>
      <c r="Q20" s="8"/>
      <c r="R20" s="8"/>
      <c r="S20" s="8"/>
      <c r="Z20" s="8"/>
      <c r="AA20" s="8"/>
      <c r="AB20" s="8"/>
      <c r="AI20" s="8"/>
      <c r="AJ20" s="8"/>
      <c r="AK20" s="8"/>
    </row>
    <row r="21" spans="5:37" x14ac:dyDescent="0.3">
      <c r="E21" s="19" t="s">
        <v>42</v>
      </c>
      <c r="F21" s="19"/>
      <c r="G21" s="19"/>
      <c r="H21" s="8">
        <f>AVERAGE(B4:B14,E4:E14)</f>
        <v>8.5947173952682778</v>
      </c>
      <c r="I21" s="8">
        <f>AVERAGE(C4:C14,F4:F14)</f>
        <v>9.3642903113422786</v>
      </c>
      <c r="J21" s="8">
        <f>AVERAGE(D4:D14,G4:G14)</f>
        <v>17.959007706610556</v>
      </c>
      <c r="N21" s="19" t="s">
        <v>42</v>
      </c>
      <c r="O21" s="19"/>
      <c r="P21" s="19"/>
      <c r="Q21" s="8">
        <f>AVERAGE(K4:K14,N4:N14)</f>
        <v>8.6053798005010425</v>
      </c>
      <c r="R21" s="8">
        <f>AVERAGE(L4:L14,O4:O14)</f>
        <v>9.4137719213127991</v>
      </c>
      <c r="S21" s="8">
        <f>AVERAGE(M4:M14,P4:P14)</f>
        <v>18.019151721813838</v>
      </c>
      <c r="W21" s="19" t="s">
        <v>42</v>
      </c>
      <c r="X21" s="19"/>
      <c r="Y21" s="19"/>
      <c r="Z21" s="8">
        <f>AVERAGE(T4:T14,W4:W14)</f>
        <v>7.7251264636092394</v>
      </c>
      <c r="AA21" s="8">
        <f>AVERAGE(U4:U14,X4:X14)</f>
        <v>10.423592415581547</v>
      </c>
      <c r="AB21" s="8">
        <f>AVERAGE(V4:V14,Y4:Y14)</f>
        <v>18.148718879190781</v>
      </c>
      <c r="AF21" s="19" t="s">
        <v>42</v>
      </c>
      <c r="AG21" s="19"/>
      <c r="AH21" s="19"/>
      <c r="AI21" s="8">
        <f>AVERAGE(AC4:AC14,AF4:AF14)</f>
        <v>7.6389443965182089</v>
      </c>
      <c r="AJ21" s="8">
        <f>AVERAGE(AD4:AD14,AG4:AG14)</f>
        <v>7.5829603188636812</v>
      </c>
      <c r="AK21" s="8">
        <f>AVERAGE(AE4:AE14,AH4:AH14)</f>
        <v>15.221904715381896</v>
      </c>
    </row>
    <row r="22" spans="5:37" x14ac:dyDescent="0.3">
      <c r="E22" s="19" t="s">
        <v>43</v>
      </c>
      <c r="F22" s="19"/>
      <c r="G22" s="19"/>
      <c r="H22" s="7">
        <f>H18*100/H21</f>
        <v>6.224618364036786</v>
      </c>
      <c r="I22" s="7">
        <f t="shared" ref="I22:J22" si="20">I18*100/I21</f>
        <v>1.461235392199316</v>
      </c>
      <c r="J22" s="7">
        <f t="shared" si="20"/>
        <v>3.7408674942172113</v>
      </c>
      <c r="N22" s="19" t="s">
        <v>43</v>
      </c>
      <c r="O22" s="19"/>
      <c r="P22" s="19"/>
      <c r="Q22" s="7">
        <f>Q18*100/Q21</f>
        <v>2.9802526842462491</v>
      </c>
      <c r="R22" s="7">
        <f t="shared" ref="R22:S22" si="21">R18*100/R21</f>
        <v>4.9909753527909242</v>
      </c>
      <c r="S22" s="7">
        <f t="shared" si="21"/>
        <v>1.1841676964645618</v>
      </c>
      <c r="W22" s="19" t="s">
        <v>43</v>
      </c>
      <c r="X22" s="19"/>
      <c r="Y22" s="19"/>
      <c r="Z22" s="7">
        <f>Z18*100/Z21</f>
        <v>4.870065435642883</v>
      </c>
      <c r="AA22" s="7">
        <f t="shared" ref="AA22:AB22" si="22">AA18*100/AA21</f>
        <v>4.9028617786157325</v>
      </c>
      <c r="AB22" s="7">
        <f t="shared" si="22"/>
        <v>4.8889017906575942</v>
      </c>
      <c r="AF22" s="19" t="s">
        <v>43</v>
      </c>
      <c r="AG22" s="19"/>
      <c r="AH22" s="19"/>
      <c r="AI22" s="7">
        <f>AI18*100/AI21</f>
        <v>10.230241427510844</v>
      </c>
      <c r="AJ22" s="7">
        <f t="shared" ref="AJ22:AK22" si="23">AJ18*100/AJ21</f>
        <v>55.830455687042651</v>
      </c>
      <c r="AK22" s="7">
        <f t="shared" si="23"/>
        <v>24.224299022203262</v>
      </c>
    </row>
  </sheetData>
  <mergeCells count="37">
    <mergeCell ref="A1:A3"/>
    <mergeCell ref="B1:J1"/>
    <mergeCell ref="K1:S1"/>
    <mergeCell ref="T1:AB1"/>
    <mergeCell ref="AC1:AK1"/>
    <mergeCell ref="B2:D2"/>
    <mergeCell ref="E2:G2"/>
    <mergeCell ref="H2:J2"/>
    <mergeCell ref="K2:M2"/>
    <mergeCell ref="N2:P2"/>
    <mergeCell ref="E18:G18"/>
    <mergeCell ref="N18:P18"/>
    <mergeCell ref="W18:Y18"/>
    <mergeCell ref="AF18:AH18"/>
    <mergeCell ref="Q2:S2"/>
    <mergeCell ref="T2:V2"/>
    <mergeCell ref="W2:Y2"/>
    <mergeCell ref="Z2:AB2"/>
    <mergeCell ref="AC2:AE2"/>
    <mergeCell ref="AF2:AH2"/>
    <mergeCell ref="AI2:AK2"/>
    <mergeCell ref="H16:J16"/>
    <mergeCell ref="Q16:S16"/>
    <mergeCell ref="Z16:AB16"/>
    <mergeCell ref="AI16:AK16"/>
    <mergeCell ref="E22:G22"/>
    <mergeCell ref="N22:P22"/>
    <mergeCell ref="W22:Y22"/>
    <mergeCell ref="AF22:AH22"/>
    <mergeCell ref="E19:G19"/>
    <mergeCell ref="N19:P19"/>
    <mergeCell ref="W19:Y19"/>
    <mergeCell ref="AF19:AH19"/>
    <mergeCell ref="E21:G21"/>
    <mergeCell ref="N21:P21"/>
    <mergeCell ref="W21:Y21"/>
    <mergeCell ref="AF21:AH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7E3D-D5F7-4C91-BB8B-C43A1B1E21D0}">
  <dimension ref="A1:M20"/>
  <sheetViews>
    <sheetView zoomScale="85" zoomScaleNormal="85" workbookViewId="0">
      <selection activeCell="L30" sqref="L30"/>
    </sheetView>
  </sheetViews>
  <sheetFormatPr defaultRowHeight="14.4" x14ac:dyDescent="0.3"/>
  <cols>
    <col min="2" max="3" width="15.33203125" customWidth="1"/>
    <col min="4" max="4" width="22" customWidth="1"/>
    <col min="5" max="5" width="15.33203125" customWidth="1"/>
    <col min="6" max="6" width="15.21875" customWidth="1"/>
    <col min="7" max="7" width="23" customWidth="1"/>
    <col min="8" max="8" width="14.6640625" customWidth="1"/>
    <col min="9" max="9" width="19.77734375" customWidth="1"/>
    <col min="10" max="10" width="23" customWidth="1"/>
    <col min="11" max="11" width="16.21875" customWidth="1"/>
    <col min="12" max="12" width="17.21875" customWidth="1"/>
    <col min="13" max="13" width="24.77734375" customWidth="1"/>
  </cols>
  <sheetData>
    <row r="1" spans="1:13" x14ac:dyDescent="0.3">
      <c r="A1" s="14" t="s">
        <v>18</v>
      </c>
      <c r="B1" s="21" t="s">
        <v>3</v>
      </c>
      <c r="C1" s="21"/>
      <c r="D1" s="20" t="s">
        <v>7</v>
      </c>
      <c r="E1" s="21" t="s">
        <v>4</v>
      </c>
      <c r="F1" s="21"/>
      <c r="G1" s="20" t="s">
        <v>7</v>
      </c>
      <c r="H1" s="21" t="s">
        <v>5</v>
      </c>
      <c r="I1" s="21"/>
      <c r="J1" s="20" t="s">
        <v>7</v>
      </c>
      <c r="K1" s="21" t="s">
        <v>6</v>
      </c>
      <c r="L1" s="21"/>
      <c r="M1" s="20" t="s">
        <v>7</v>
      </c>
    </row>
    <row r="2" spans="1:13" x14ac:dyDescent="0.3">
      <c r="A2" s="14"/>
      <c r="B2" s="2" t="s">
        <v>2</v>
      </c>
      <c r="C2" s="5" t="s">
        <v>1</v>
      </c>
      <c r="D2" s="20"/>
      <c r="E2" s="2" t="s">
        <v>2</v>
      </c>
      <c r="F2" s="5" t="s">
        <v>1</v>
      </c>
      <c r="G2" s="20"/>
      <c r="H2" s="2" t="s">
        <v>2</v>
      </c>
      <c r="I2" s="5" t="s">
        <v>1</v>
      </c>
      <c r="J2" s="20"/>
      <c r="K2" s="2" t="s">
        <v>2</v>
      </c>
      <c r="L2" s="5" t="s">
        <v>1</v>
      </c>
      <c r="M2" s="20"/>
    </row>
    <row r="3" spans="1:13" x14ac:dyDescent="0.3">
      <c r="A3">
        <v>-50</v>
      </c>
      <c r="B3">
        <v>60.017016640109894</v>
      </c>
      <c r="C3">
        <v>99.598922684399042</v>
      </c>
      <c r="D3">
        <f>ABS(B3-C3)</f>
        <v>39.581906044289148</v>
      </c>
      <c r="E3">
        <v>58.860163030710829</v>
      </c>
      <c r="F3">
        <v>96.503417325706181</v>
      </c>
      <c r="G3">
        <f>ABS(E3-F3)</f>
        <v>37.643254294995351</v>
      </c>
      <c r="H3">
        <v>55.771666849784182</v>
      </c>
      <c r="I3">
        <v>80.905456945135498</v>
      </c>
      <c r="J3">
        <f>ABS(H3-I3)</f>
        <v>25.133790095351316</v>
      </c>
      <c r="K3">
        <v>22.547045767936176</v>
      </c>
      <c r="L3">
        <v>8.0773654576855733</v>
      </c>
      <c r="M3">
        <f>ABS(K3-L3)</f>
        <v>14.469680310250602</v>
      </c>
    </row>
    <row r="4" spans="1:13" x14ac:dyDescent="0.3">
      <c r="A4">
        <v>-25</v>
      </c>
      <c r="B4">
        <v>60.191497321551068</v>
      </c>
      <c r="C4">
        <v>96.024580146418373</v>
      </c>
      <c r="D4">
        <f t="shared" ref="D4:D13" si="0">ABS(B4-C4)</f>
        <v>35.833082824867304</v>
      </c>
      <c r="E4">
        <v>59.073122997781184</v>
      </c>
      <c r="F4">
        <v>92.594236918423078</v>
      </c>
      <c r="G4">
        <f t="shared" ref="G4:G13" si="1">ABS(E4-F4)</f>
        <v>33.521113920641895</v>
      </c>
      <c r="H4">
        <v>55.925267804285959</v>
      </c>
      <c r="I4">
        <v>77.618570860175367</v>
      </c>
      <c r="J4">
        <f t="shared" ref="J4:J13" si="2">ABS(H4-I4)</f>
        <v>21.693303055889409</v>
      </c>
      <c r="K4">
        <v>24.448341606992056</v>
      </c>
      <c r="L4">
        <v>13.83135931574121</v>
      </c>
      <c r="M4">
        <f t="shared" ref="M4:M13" si="3">ABS(K4-L4)</f>
        <v>10.616982291250846</v>
      </c>
    </row>
    <row r="5" spans="1:13" x14ac:dyDescent="0.3">
      <c r="A5">
        <v>0</v>
      </c>
      <c r="B5">
        <v>60.384963351762948</v>
      </c>
      <c r="C5">
        <v>97.425380592005951</v>
      </c>
      <c r="D5">
        <f t="shared" si="0"/>
        <v>37.040417240243002</v>
      </c>
      <c r="E5">
        <v>59.229017287205657</v>
      </c>
      <c r="F5">
        <v>92.081671120405389</v>
      </c>
      <c r="G5">
        <f t="shared" si="1"/>
        <v>32.852653833199732</v>
      </c>
      <c r="H5">
        <v>56.155642146346551</v>
      </c>
      <c r="I5">
        <v>77.866358817361331</v>
      </c>
      <c r="J5">
        <f t="shared" si="2"/>
        <v>21.710716671014779</v>
      </c>
      <c r="K5">
        <v>24.797908804453627</v>
      </c>
      <c r="L5">
        <v>9.1440614754898526</v>
      </c>
      <c r="M5">
        <f t="shared" si="3"/>
        <v>15.653847328963774</v>
      </c>
    </row>
    <row r="6" spans="1:13" x14ac:dyDescent="0.3">
      <c r="A6">
        <v>25</v>
      </c>
      <c r="B6">
        <v>60.858241752190636</v>
      </c>
      <c r="C6">
        <v>96.898916269550114</v>
      </c>
      <c r="D6">
        <f t="shared" si="0"/>
        <v>36.040674517359477</v>
      </c>
      <c r="E6">
        <v>59.405451874116665</v>
      </c>
      <c r="F6">
        <v>93.357304007989683</v>
      </c>
      <c r="G6">
        <f t="shared" si="1"/>
        <v>33.951852133873018</v>
      </c>
      <c r="H6">
        <v>56.390227864112134</v>
      </c>
      <c r="I6">
        <v>78.7272616731059</v>
      </c>
      <c r="J6">
        <f t="shared" si="2"/>
        <v>22.337033808993766</v>
      </c>
      <c r="K6">
        <v>25.635728932354994</v>
      </c>
      <c r="L6">
        <v>12.316575320498931</v>
      </c>
      <c r="M6">
        <f t="shared" si="3"/>
        <v>13.319153611856063</v>
      </c>
    </row>
    <row r="7" spans="1:13" x14ac:dyDescent="0.3">
      <c r="A7">
        <v>50</v>
      </c>
      <c r="B7">
        <v>61.143737354173957</v>
      </c>
      <c r="C7">
        <v>97.829599641850322</v>
      </c>
      <c r="D7">
        <f t="shared" si="0"/>
        <v>36.685862287676365</v>
      </c>
      <c r="E7">
        <v>59.930743945009503</v>
      </c>
      <c r="F7">
        <v>94.258814776115287</v>
      </c>
      <c r="G7">
        <f t="shared" si="1"/>
        <v>34.328070831105784</v>
      </c>
      <c r="H7">
        <v>56.493858928987954</v>
      </c>
      <c r="I7">
        <v>79.831727314772166</v>
      </c>
      <c r="J7">
        <f t="shared" si="2"/>
        <v>23.337868385784212</v>
      </c>
      <c r="K7">
        <v>27.189949832594579</v>
      </c>
      <c r="L7">
        <v>14.48479705829596</v>
      </c>
      <c r="M7">
        <f t="shared" si="3"/>
        <v>12.705152774298618</v>
      </c>
    </row>
    <row r="8" spans="1:13" x14ac:dyDescent="0.3">
      <c r="A8">
        <v>75</v>
      </c>
      <c r="B8">
        <v>61.574080944849783</v>
      </c>
      <c r="C8">
        <v>98.258508455515965</v>
      </c>
      <c r="D8">
        <f t="shared" si="0"/>
        <v>36.684427510666183</v>
      </c>
      <c r="E8">
        <v>60.219631298326874</v>
      </c>
      <c r="F8">
        <v>95.362174371732465</v>
      </c>
      <c r="G8">
        <f t="shared" si="1"/>
        <v>35.142543073405591</v>
      </c>
      <c r="H8">
        <v>56.683336929046732</v>
      </c>
      <c r="I8">
        <v>78.666232055804784</v>
      </c>
      <c r="J8">
        <f t="shared" si="2"/>
        <v>21.982895126758052</v>
      </c>
      <c r="K8">
        <v>28.158377996970465</v>
      </c>
      <c r="L8">
        <v>8.897426076814611</v>
      </c>
      <c r="M8">
        <f t="shared" si="3"/>
        <v>19.260951920155854</v>
      </c>
    </row>
    <row r="9" spans="1:13" x14ac:dyDescent="0.3">
      <c r="A9">
        <v>100</v>
      </c>
      <c r="B9">
        <v>61.666308514972457</v>
      </c>
      <c r="C9">
        <v>98.242878570687765</v>
      </c>
      <c r="D9">
        <f t="shared" si="0"/>
        <v>36.576570055715308</v>
      </c>
      <c r="E9">
        <v>60.656983889079896</v>
      </c>
      <c r="F9">
        <v>95.986976006102452</v>
      </c>
      <c r="G9">
        <f t="shared" si="1"/>
        <v>35.329992117022556</v>
      </c>
      <c r="H9">
        <v>57.050749042357971</v>
      </c>
      <c r="I9">
        <v>82.037624994226377</v>
      </c>
      <c r="J9">
        <f t="shared" si="2"/>
        <v>24.986875951868406</v>
      </c>
      <c r="K9">
        <v>29.519223624575385</v>
      </c>
      <c r="L9">
        <v>12.38800169812531</v>
      </c>
      <c r="M9">
        <f t="shared" si="3"/>
        <v>17.131221926450074</v>
      </c>
    </row>
    <row r="10" spans="1:13" x14ac:dyDescent="0.3">
      <c r="A10">
        <v>125</v>
      </c>
      <c r="B10">
        <v>61.840441004388438</v>
      </c>
      <c r="C10">
        <v>98.534426442470831</v>
      </c>
      <c r="D10">
        <f t="shared" si="0"/>
        <v>36.693985438082393</v>
      </c>
      <c r="E10">
        <v>60.968690707599244</v>
      </c>
      <c r="F10">
        <v>96.958098680569378</v>
      </c>
      <c r="G10">
        <f t="shared" si="1"/>
        <v>35.989407972970135</v>
      </c>
      <c r="H10">
        <v>57.239596588261449</v>
      </c>
      <c r="I10">
        <v>82.758528137293212</v>
      </c>
      <c r="J10">
        <f t="shared" si="2"/>
        <v>25.518931549031763</v>
      </c>
      <c r="K10">
        <v>32.660068340933876</v>
      </c>
      <c r="L10">
        <v>12.68816918166304</v>
      </c>
      <c r="M10">
        <f t="shared" si="3"/>
        <v>19.971899159270833</v>
      </c>
    </row>
    <row r="11" spans="1:13" x14ac:dyDescent="0.3">
      <c r="A11">
        <v>150</v>
      </c>
      <c r="B11">
        <v>62.331771515080547</v>
      </c>
      <c r="C11">
        <v>98.389762864840918</v>
      </c>
      <c r="D11">
        <f t="shared" si="0"/>
        <v>36.057991349760371</v>
      </c>
      <c r="E11">
        <v>61.559558974690589</v>
      </c>
      <c r="F11">
        <v>97.569161446416601</v>
      </c>
      <c r="G11">
        <f t="shared" si="1"/>
        <v>36.009602471726012</v>
      </c>
      <c r="H11">
        <v>57.600182707351649</v>
      </c>
      <c r="I11">
        <v>82.737201050664396</v>
      </c>
      <c r="J11">
        <f t="shared" si="2"/>
        <v>25.137018343312747</v>
      </c>
      <c r="K11">
        <v>34.629388666773607</v>
      </c>
      <c r="L11">
        <v>11.341755734434249</v>
      </c>
      <c r="M11">
        <f t="shared" si="3"/>
        <v>23.287632932339356</v>
      </c>
    </row>
    <row r="12" spans="1:13" x14ac:dyDescent="0.3">
      <c r="A12">
        <v>175</v>
      </c>
      <c r="B12">
        <v>62.669126521266037</v>
      </c>
      <c r="C12">
        <v>98.153530910309442</v>
      </c>
      <c r="D12">
        <f t="shared" si="0"/>
        <v>35.484404389043405</v>
      </c>
      <c r="E12">
        <v>62.02067471704239</v>
      </c>
      <c r="F12">
        <v>98.039931812076617</v>
      </c>
      <c r="G12">
        <f t="shared" si="1"/>
        <v>36.019257095034227</v>
      </c>
      <c r="H12">
        <v>57.973273762377488</v>
      </c>
      <c r="I12">
        <v>84.11653135677463</v>
      </c>
      <c r="J12">
        <f t="shared" si="2"/>
        <v>26.143257594397141</v>
      </c>
      <c r="K12">
        <v>36.583164355026334</v>
      </c>
      <c r="L12">
        <v>14.86584038349419</v>
      </c>
      <c r="M12">
        <f t="shared" si="3"/>
        <v>21.717323971532146</v>
      </c>
    </row>
    <row r="13" spans="1:13" x14ac:dyDescent="0.3">
      <c r="A13">
        <v>200</v>
      </c>
      <c r="B13">
        <v>63.09610812501667</v>
      </c>
      <c r="C13">
        <v>98.862766312340298</v>
      </c>
      <c r="D13">
        <f t="shared" si="0"/>
        <v>35.766658187323628</v>
      </c>
      <c r="E13">
        <v>62.410436050913553</v>
      </c>
      <c r="F13">
        <v>98.476875562346237</v>
      </c>
      <c r="G13">
        <f t="shared" si="1"/>
        <v>36.066439511432684</v>
      </c>
      <c r="H13">
        <v>58.127383921044839</v>
      </c>
      <c r="I13">
        <v>83.823702257705563</v>
      </c>
      <c r="J13">
        <f t="shared" si="2"/>
        <v>25.696318336660724</v>
      </c>
      <c r="K13">
        <v>38.626213569023541</v>
      </c>
      <c r="L13">
        <v>16.365273286869179</v>
      </c>
      <c r="M13">
        <f t="shared" si="3"/>
        <v>22.260940282154362</v>
      </c>
    </row>
    <row r="15" spans="1:13" x14ac:dyDescent="0.3">
      <c r="D15" s="1" t="s">
        <v>11</v>
      </c>
      <c r="G15" s="1" t="s">
        <v>12</v>
      </c>
      <c r="J15" s="1" t="s">
        <v>13</v>
      </c>
      <c r="M15" s="1" t="s">
        <v>6</v>
      </c>
    </row>
    <row r="16" spans="1:13" x14ac:dyDescent="0.3">
      <c r="C16" t="s">
        <v>8</v>
      </c>
      <c r="D16" s="7">
        <f>AVERAGE(D3:D13)</f>
        <v>36.585998167729684</v>
      </c>
      <c r="F16" t="s">
        <v>8</v>
      </c>
      <c r="G16" s="7">
        <f>AVERAGE(G3:G13)</f>
        <v>35.168562477764269</v>
      </c>
      <c r="I16" t="s">
        <v>8</v>
      </c>
      <c r="J16" s="7">
        <f>AVERAGE(J3:J13)</f>
        <v>23.970728083551116</v>
      </c>
      <c r="L16" t="s">
        <v>8</v>
      </c>
      <c r="M16" s="7">
        <f>AVERAGE(M3:M13)</f>
        <v>17.308616955320232</v>
      </c>
    </row>
    <row r="17" spans="3:13" x14ac:dyDescent="0.3">
      <c r="C17" t="s">
        <v>9</v>
      </c>
      <c r="D17" s="7">
        <f>_xlfn.STDEV.P(D3:D13)</f>
        <v>1.0549127266736236</v>
      </c>
      <c r="F17" t="s">
        <v>9</v>
      </c>
      <c r="G17" s="7">
        <f>_xlfn.STDEV.P(G3:G13)</f>
        <v>1.3254901698259309</v>
      </c>
      <c r="I17" t="s">
        <v>9</v>
      </c>
      <c r="J17" s="7">
        <f>_xlfn.STDEV.P(J3:J13)</f>
        <v>1.6829424301866911</v>
      </c>
      <c r="K17" t="s">
        <v>10</v>
      </c>
      <c r="L17" t="s">
        <v>9</v>
      </c>
      <c r="M17" s="7">
        <f>_xlfn.STDEV.P(M3:M13)</f>
        <v>4.0824512172559109</v>
      </c>
    </row>
    <row r="18" spans="3:13" x14ac:dyDescent="0.3">
      <c r="D18" s="8"/>
      <c r="G18" s="8"/>
      <c r="J18" s="8"/>
      <c r="M18" s="8"/>
    </row>
    <row r="19" spans="3:13" x14ac:dyDescent="0.3">
      <c r="C19" t="s">
        <v>31</v>
      </c>
      <c r="D19" s="8">
        <f>AVERAGE(B3:C13)</f>
        <v>79.72693481526143</v>
      </c>
      <c r="F19" t="s">
        <v>31</v>
      </c>
      <c r="G19" s="8">
        <f>AVERAGE(E3:F13)</f>
        <v>77.978324400016348</v>
      </c>
      <c r="I19" t="s">
        <v>31</v>
      </c>
      <c r="J19" s="8">
        <f>AVERAGE(H3:I13)</f>
        <v>68.84092645486254</v>
      </c>
      <c r="L19" t="s">
        <v>31</v>
      </c>
      <c r="M19" s="8">
        <f>AVERAGE(K3:L13)</f>
        <v>20.872547113033942</v>
      </c>
    </row>
    <row r="20" spans="3:13" x14ac:dyDescent="0.3">
      <c r="C20" t="s">
        <v>32</v>
      </c>
      <c r="D20" s="7">
        <f>D16*100/D19</f>
        <v>45.889131762690504</v>
      </c>
      <c r="F20" t="s">
        <v>32</v>
      </c>
      <c r="G20" s="7">
        <f>G16*100/G19</f>
        <v>45.100433676101012</v>
      </c>
      <c r="I20" t="s">
        <v>32</v>
      </c>
      <c r="J20" s="7">
        <f>J16*100/J19</f>
        <v>34.820461196535739</v>
      </c>
      <c r="L20" t="s">
        <v>32</v>
      </c>
      <c r="M20" s="7">
        <f>M16*100/M19</f>
        <v>82.925274340436388</v>
      </c>
    </row>
  </sheetData>
  <mergeCells count="9">
    <mergeCell ref="J1:J2"/>
    <mergeCell ref="K1:L1"/>
    <mergeCell ref="M1:M2"/>
    <mergeCell ref="A1:A2"/>
    <mergeCell ref="B1:C1"/>
    <mergeCell ref="D1:D2"/>
    <mergeCell ref="E1:F1"/>
    <mergeCell ref="G1:G2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FELB - ROM comparison</vt:lpstr>
      <vt:lpstr>FELB - Peak Load Comparison</vt:lpstr>
      <vt:lpstr>FELB - Hysteresis Comparison</vt:lpstr>
      <vt:lpstr>AR-C - ROM comparison</vt:lpstr>
      <vt:lpstr>AR-C - Peak Load Comparison</vt:lpstr>
      <vt:lpstr>AR-C - Hysteresis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Siril Dukkipati</dc:creator>
  <cp:lastModifiedBy>Siril Dukkipati</cp:lastModifiedBy>
  <dcterms:created xsi:type="dcterms:W3CDTF">2026-03-03T05:04:36Z</dcterms:created>
  <dcterms:modified xsi:type="dcterms:W3CDTF">2026-03-03T14:15:14Z</dcterms:modified>
</cp:coreProperties>
</file>